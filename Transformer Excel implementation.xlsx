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13_ncr:1_{565E573F-B296-4A89-B441-9059DF0CF12C}" xr6:coauthVersionLast="47" xr6:coauthVersionMax="47" xr10:uidLastSave="{00000000-0000-0000-0000-000000000000}"/>
  <bookViews>
    <workbookView xWindow="-108" yWindow="-108" windowWidth="23256" windowHeight="12456" xr2:uid="{76865575-67B0-44C2-B348-B3A64589E96C}"/>
  </bookViews>
  <sheets>
    <sheet name="Readme" sheetId="16" r:id="rId1"/>
    <sheet name="Data (2)" sheetId="15" r:id="rId2"/>
    <sheet name="Data" sheetId="8" r:id="rId3"/>
    <sheet name="First Iteration" sheetId="1" r:id="rId4"/>
    <sheet name="Second Iteration" sheetId="4" r:id="rId5"/>
    <sheet name="Third Iteration" sheetId="9" r:id="rId6"/>
    <sheet name="Forth Iteration" sheetId="10" r:id="rId7"/>
    <sheet name="Fifth Iteration" sheetId="11" r:id="rId8"/>
    <sheet name="Sixth Iteration" sheetId="12" r:id="rId9"/>
    <sheet name="Seventh Iteration" sheetId="13" r:id="rId10"/>
    <sheet name="Eight Iteration" sheetId="14" r:id="rId11"/>
    <sheet name="Validation" sheetId="7" r:id="rId12"/>
  </sheets>
  <definedNames>
    <definedName name="_xlnm._FilterDatabase" localSheetId="0" hidden="1">Readme!$B$4:$B$129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4" l="1"/>
  <c r="K8" i="14"/>
  <c r="K7" i="14"/>
  <c r="K6" i="14"/>
  <c r="K5" i="14"/>
  <c r="K4" i="14"/>
  <c r="C4" i="14" a="1"/>
  <c r="I9" i="14" s="1"/>
  <c r="C4" i="13" a="1"/>
  <c r="I9" i="13" s="1"/>
  <c r="C4" i="12" a="1"/>
  <c r="I9" i="12" s="1"/>
  <c r="C4" i="11" a="1"/>
  <c r="I9" i="11" s="1"/>
  <c r="C4" i="10" a="1"/>
  <c r="H9" i="10" s="1"/>
  <c r="I9" i="9"/>
  <c r="D9" i="9"/>
  <c r="E8" i="9"/>
  <c r="D8" i="9"/>
  <c r="C8" i="9"/>
  <c r="G7" i="9"/>
  <c r="D7" i="9"/>
  <c r="C7" i="9"/>
  <c r="I6" i="9"/>
  <c r="F6" i="9"/>
  <c r="C6" i="9"/>
  <c r="I5" i="9"/>
  <c r="H5" i="9"/>
  <c r="E5" i="9"/>
  <c r="I4" i="9"/>
  <c r="H4" i="9"/>
  <c r="G4" i="9"/>
  <c r="D4" i="9"/>
  <c r="C4" i="9" a="1"/>
  <c r="H9" i="9" s="1"/>
  <c r="C4" i="4" a="1"/>
  <c r="I9" i="4" s="1"/>
  <c r="E4" i="14" l="1"/>
  <c r="F5" i="14"/>
  <c r="G6" i="14"/>
  <c r="H7" i="14"/>
  <c r="I8" i="14"/>
  <c r="F4" i="14"/>
  <c r="G5" i="14"/>
  <c r="H6" i="14"/>
  <c r="I7" i="14"/>
  <c r="C9" i="14"/>
  <c r="G4" i="14"/>
  <c r="H5" i="14"/>
  <c r="I6" i="14"/>
  <c r="C8" i="14"/>
  <c r="D9" i="14"/>
  <c r="H4" i="14"/>
  <c r="I5" i="14"/>
  <c r="C7" i="14"/>
  <c r="D8" i="14"/>
  <c r="E9" i="14"/>
  <c r="I4" i="14"/>
  <c r="C6" i="14"/>
  <c r="D7" i="14"/>
  <c r="E8" i="14"/>
  <c r="F9" i="14"/>
  <c r="E6" i="14"/>
  <c r="C5" i="14"/>
  <c r="D6" i="14"/>
  <c r="E7" i="14"/>
  <c r="F8" i="14"/>
  <c r="G9" i="14"/>
  <c r="C4" i="14"/>
  <c r="D5" i="14"/>
  <c r="F7" i="14"/>
  <c r="G8" i="14"/>
  <c r="H9" i="14"/>
  <c r="D4" i="14"/>
  <c r="E5" i="14"/>
  <c r="F6" i="14"/>
  <c r="G7" i="14"/>
  <c r="H8" i="14"/>
  <c r="E4" i="13"/>
  <c r="F5" i="13"/>
  <c r="G6" i="13"/>
  <c r="H7" i="13"/>
  <c r="I8" i="13"/>
  <c r="F4" i="13"/>
  <c r="G5" i="13"/>
  <c r="H6" i="13"/>
  <c r="I7" i="13"/>
  <c r="C9" i="13"/>
  <c r="G4" i="13"/>
  <c r="H5" i="13"/>
  <c r="I6" i="13"/>
  <c r="C8" i="13"/>
  <c r="D9" i="13"/>
  <c r="H4" i="13"/>
  <c r="I5" i="13"/>
  <c r="C7" i="13"/>
  <c r="D8" i="13"/>
  <c r="E9" i="13"/>
  <c r="I4" i="13"/>
  <c r="C6" i="13"/>
  <c r="D7" i="13"/>
  <c r="E8" i="13"/>
  <c r="F9" i="13"/>
  <c r="H9" i="13"/>
  <c r="C5" i="13"/>
  <c r="D6" i="13"/>
  <c r="E7" i="13"/>
  <c r="F8" i="13"/>
  <c r="G9" i="13"/>
  <c r="C4" i="13"/>
  <c r="D5" i="13"/>
  <c r="E6" i="13"/>
  <c r="F7" i="13"/>
  <c r="G8" i="13"/>
  <c r="D4" i="13"/>
  <c r="E5" i="13"/>
  <c r="F6" i="13"/>
  <c r="G7" i="13"/>
  <c r="H8" i="13"/>
  <c r="F5" i="12"/>
  <c r="H6" i="12"/>
  <c r="C9" i="12"/>
  <c r="G4" i="12"/>
  <c r="H5" i="12"/>
  <c r="I6" i="12"/>
  <c r="C8" i="12"/>
  <c r="D9" i="12"/>
  <c r="H7" i="12"/>
  <c r="F4" i="12"/>
  <c r="G5" i="12"/>
  <c r="I7" i="12"/>
  <c r="H4" i="12"/>
  <c r="I5" i="12"/>
  <c r="C7" i="12"/>
  <c r="D8" i="12"/>
  <c r="E9" i="12"/>
  <c r="C5" i="12"/>
  <c r="D6" i="12"/>
  <c r="E7" i="12"/>
  <c r="F8" i="12"/>
  <c r="G9" i="12"/>
  <c r="G6" i="12"/>
  <c r="I4" i="12"/>
  <c r="E8" i="12"/>
  <c r="C4" i="12"/>
  <c r="D5" i="12"/>
  <c r="E6" i="12"/>
  <c r="F7" i="12"/>
  <c r="G8" i="12"/>
  <c r="H9" i="12"/>
  <c r="E4" i="12"/>
  <c r="I8" i="12"/>
  <c r="C6" i="12"/>
  <c r="D7" i="12"/>
  <c r="F9" i="12"/>
  <c r="D4" i="12"/>
  <c r="E5" i="12"/>
  <c r="F6" i="12"/>
  <c r="G7" i="12"/>
  <c r="H8" i="12"/>
  <c r="H7" i="11"/>
  <c r="F4" i="11"/>
  <c r="I7" i="11"/>
  <c r="D9" i="11"/>
  <c r="H4" i="11"/>
  <c r="I5" i="11"/>
  <c r="C7" i="11"/>
  <c r="D8" i="11"/>
  <c r="E9" i="11"/>
  <c r="F5" i="11"/>
  <c r="I8" i="11"/>
  <c r="H6" i="11"/>
  <c r="C9" i="11"/>
  <c r="G4" i="11"/>
  <c r="I6" i="11"/>
  <c r="C8" i="11"/>
  <c r="I4" i="11"/>
  <c r="C6" i="11"/>
  <c r="D7" i="11"/>
  <c r="E8" i="11"/>
  <c r="F9" i="11"/>
  <c r="E4" i="11"/>
  <c r="G5" i="11"/>
  <c r="G9" i="11"/>
  <c r="G6" i="11"/>
  <c r="H5" i="11"/>
  <c r="H9" i="11"/>
  <c r="C5" i="11"/>
  <c r="D6" i="11"/>
  <c r="E7" i="11"/>
  <c r="F8" i="11"/>
  <c r="C4" i="11"/>
  <c r="D5" i="11"/>
  <c r="E6" i="11"/>
  <c r="F7" i="11"/>
  <c r="G8" i="11"/>
  <c r="D4" i="11"/>
  <c r="E5" i="11"/>
  <c r="F6" i="11"/>
  <c r="G7" i="11"/>
  <c r="H8" i="11"/>
  <c r="D4" i="10"/>
  <c r="F6" i="10"/>
  <c r="H8" i="10"/>
  <c r="E4" i="10"/>
  <c r="F5" i="10"/>
  <c r="H7" i="10"/>
  <c r="H6" i="10"/>
  <c r="C9" i="10"/>
  <c r="H5" i="10"/>
  <c r="D9" i="10"/>
  <c r="H4" i="10"/>
  <c r="I5" i="10"/>
  <c r="C7" i="10"/>
  <c r="D8" i="10"/>
  <c r="E9" i="10"/>
  <c r="E5" i="10"/>
  <c r="G7" i="10"/>
  <c r="I9" i="10"/>
  <c r="G6" i="10"/>
  <c r="F4" i="10"/>
  <c r="G5" i="10"/>
  <c r="I7" i="10"/>
  <c r="G4" i="10"/>
  <c r="I6" i="10"/>
  <c r="C8" i="10"/>
  <c r="I4" i="10"/>
  <c r="C6" i="10"/>
  <c r="D7" i="10"/>
  <c r="E8" i="10"/>
  <c r="F9" i="10"/>
  <c r="C5" i="10"/>
  <c r="D6" i="10"/>
  <c r="E7" i="10"/>
  <c r="F8" i="10"/>
  <c r="G9" i="10"/>
  <c r="I8" i="10"/>
  <c r="C4" i="10"/>
  <c r="D5" i="10"/>
  <c r="E6" i="10"/>
  <c r="F7" i="10"/>
  <c r="G8" i="10"/>
  <c r="H8" i="9"/>
  <c r="E4" i="9"/>
  <c r="F5" i="9"/>
  <c r="G6" i="9"/>
  <c r="H7" i="9"/>
  <c r="I8" i="9"/>
  <c r="F4" i="9"/>
  <c r="G5" i="9"/>
  <c r="H6" i="9"/>
  <c r="I7" i="9"/>
  <c r="C9" i="9"/>
  <c r="E9" i="9"/>
  <c r="F9" i="9"/>
  <c r="C5" i="9"/>
  <c r="D6" i="9"/>
  <c r="E7" i="9"/>
  <c r="F8" i="9"/>
  <c r="G9" i="9"/>
  <c r="C4" i="9"/>
  <c r="D5" i="9"/>
  <c r="E6" i="9"/>
  <c r="F7" i="9"/>
  <c r="G8" i="9"/>
  <c r="E4" i="4"/>
  <c r="F5" i="4"/>
  <c r="G6" i="4"/>
  <c r="H7" i="4"/>
  <c r="I8" i="4"/>
  <c r="F4" i="4"/>
  <c r="G5" i="4"/>
  <c r="H6" i="4"/>
  <c r="I7" i="4"/>
  <c r="C9" i="4"/>
  <c r="G4" i="4"/>
  <c r="H5" i="4"/>
  <c r="I6" i="4"/>
  <c r="C8" i="4"/>
  <c r="D9" i="4"/>
  <c r="H4" i="4"/>
  <c r="I5" i="4"/>
  <c r="C7" i="4"/>
  <c r="D8" i="4"/>
  <c r="E9" i="4"/>
  <c r="I4" i="4"/>
  <c r="C6" i="4"/>
  <c r="D7" i="4"/>
  <c r="E8" i="4"/>
  <c r="F9" i="4"/>
  <c r="D6" i="4"/>
  <c r="F8" i="4"/>
  <c r="C4" i="4"/>
  <c r="D5" i="4"/>
  <c r="E6" i="4"/>
  <c r="F7" i="4"/>
  <c r="G8" i="4"/>
  <c r="H9" i="4"/>
  <c r="C5" i="4"/>
  <c r="E7" i="4"/>
  <c r="G9" i="4"/>
  <c r="D4" i="4"/>
  <c r="E5" i="4"/>
  <c r="F6" i="4"/>
  <c r="G7" i="4"/>
  <c r="H8" i="4"/>
  <c r="C4" i="1" a="1"/>
  <c r="H5" i="1" s="1"/>
  <c r="C28" i="1"/>
  <c r="D28" i="1"/>
  <c r="E28" i="1"/>
  <c r="F28" i="1"/>
  <c r="C29" i="1"/>
  <c r="D29" i="1"/>
  <c r="E29" i="1"/>
  <c r="F29" i="1"/>
  <c r="C30" i="1"/>
  <c r="D30" i="1"/>
  <c r="E30" i="1"/>
  <c r="F30" i="1"/>
  <c r="C31" i="1"/>
  <c r="D31" i="1"/>
  <c r="E31" i="1"/>
  <c r="F31" i="1"/>
  <c r="C32" i="1"/>
  <c r="D32" i="1"/>
  <c r="E32" i="1"/>
  <c r="F32" i="1"/>
  <c r="D27" i="1"/>
  <c r="E27" i="1"/>
  <c r="F27" i="1"/>
  <c r="C21" i="1"/>
  <c r="D21" i="1"/>
  <c r="E21" i="1"/>
  <c r="F21" i="1"/>
  <c r="C22" i="1"/>
  <c r="D22" i="1"/>
  <c r="E22" i="1"/>
  <c r="F22" i="1"/>
  <c r="C23" i="1"/>
  <c r="D23" i="1"/>
  <c r="E23" i="1"/>
  <c r="F23" i="1"/>
  <c r="C24" i="1"/>
  <c r="D24" i="1"/>
  <c r="E24" i="1"/>
  <c r="F24" i="1"/>
  <c r="C25" i="1"/>
  <c r="D25" i="1"/>
  <c r="E25" i="1"/>
  <c r="F25" i="1"/>
  <c r="D20" i="1"/>
  <c r="E20" i="1"/>
  <c r="F20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D13" i="1"/>
  <c r="E13" i="1"/>
  <c r="F13" i="1"/>
  <c r="C27" i="1"/>
  <c r="C20" i="1"/>
  <c r="C13" i="1"/>
  <c r="I9" i="1" l="1"/>
  <c r="G5" i="1"/>
  <c r="E5" i="1"/>
  <c r="D5" i="1"/>
  <c r="H9" i="1"/>
  <c r="G9" i="1"/>
  <c r="F9" i="1"/>
  <c r="E9" i="1"/>
  <c r="F5" i="1"/>
  <c r="D9" i="1"/>
  <c r="I7" i="1"/>
  <c r="H7" i="1"/>
  <c r="G7" i="1"/>
  <c r="F7" i="1"/>
  <c r="E7" i="1"/>
  <c r="D7" i="1"/>
  <c r="I5" i="1"/>
  <c r="C4" i="1"/>
  <c r="C6" i="1"/>
  <c r="C8" i="1"/>
  <c r="D4" i="1"/>
  <c r="D6" i="1"/>
  <c r="D8" i="1"/>
  <c r="E4" i="1"/>
  <c r="E6" i="1"/>
  <c r="E8" i="1"/>
  <c r="F4" i="1"/>
  <c r="F6" i="1"/>
  <c r="F8" i="1"/>
  <c r="G4" i="1"/>
  <c r="G6" i="1"/>
  <c r="G8" i="1"/>
  <c r="H4" i="1"/>
  <c r="H6" i="1"/>
  <c r="H8" i="1"/>
  <c r="I4" i="1"/>
  <c r="I6" i="1"/>
  <c r="I8" i="1"/>
  <c r="C5" i="1"/>
  <c r="C7" i="1"/>
  <c r="C9" i="1"/>
  <c r="M27" i="1" l="1" a="1"/>
  <c r="M27" i="1" s="1"/>
  <c r="M18" i="1" a="1"/>
  <c r="M18" i="1" s="1"/>
  <c r="M9" i="1" a="1"/>
  <c r="M9" i="1" s="1"/>
  <c r="N22" i="1" l="1"/>
  <c r="O21" i="1"/>
  <c r="M19" i="1"/>
  <c r="P22" i="1"/>
  <c r="P28" i="1"/>
  <c r="N21" i="1"/>
  <c r="P20" i="1"/>
  <c r="O20" i="1"/>
  <c r="N20" i="1"/>
  <c r="N19" i="1"/>
  <c r="P19" i="1"/>
  <c r="P23" i="1"/>
  <c r="P9" i="1"/>
  <c r="P32" i="1"/>
  <c r="M32" i="1"/>
  <c r="M12" i="1"/>
  <c r="M31" i="1"/>
  <c r="P13" i="1"/>
  <c r="P11" i="1"/>
  <c r="N23" i="1"/>
  <c r="M22" i="1"/>
  <c r="O18" i="1"/>
  <c r="P18" i="1"/>
  <c r="O32" i="1"/>
  <c r="O27" i="1"/>
  <c r="P21" i="1"/>
  <c r="P30" i="1"/>
  <c r="O23" i="1"/>
  <c r="N11" i="1"/>
  <c r="M14" i="1"/>
  <c r="O29" i="1"/>
  <c r="M11" i="1"/>
  <c r="O19" i="1"/>
  <c r="O22" i="1"/>
  <c r="M13" i="1"/>
  <c r="M29" i="1"/>
  <c r="M30" i="1"/>
  <c r="P27" i="1"/>
  <c r="P14" i="1"/>
  <c r="O9" i="1"/>
  <c r="N27" i="1"/>
  <c r="O12" i="1"/>
  <c r="N10" i="1"/>
  <c r="P29" i="1"/>
  <c r="P10" i="1"/>
  <c r="O14" i="1"/>
  <c r="O28" i="1"/>
  <c r="O13" i="1"/>
  <c r="P31" i="1"/>
  <c r="P12" i="1"/>
  <c r="N14" i="1"/>
  <c r="N28" i="1"/>
  <c r="N32" i="1"/>
  <c r="N29" i="1"/>
  <c r="N30" i="1"/>
  <c r="O30" i="1"/>
  <c r="M28" i="1"/>
  <c r="N9" i="1"/>
  <c r="O10" i="1"/>
  <c r="O31" i="1"/>
  <c r="M10" i="1"/>
  <c r="N31" i="1"/>
  <c r="M21" i="1"/>
  <c r="N18" i="1"/>
  <c r="M20" i="1"/>
  <c r="N13" i="1"/>
  <c r="M23" i="1"/>
  <c r="N12" i="1"/>
  <c r="O11" i="1"/>
  <c r="R6" i="1" l="1" a="1"/>
  <c r="T7" i="1" s="1"/>
  <c r="T15" i="1" s="1"/>
  <c r="T22" i="1" s="1"/>
  <c r="T10" i="1" l="1"/>
  <c r="T18" i="1" s="1"/>
  <c r="T25" i="1" s="1"/>
  <c r="S7" i="1"/>
  <c r="S15" i="1" s="1"/>
  <c r="S22" i="1" s="1"/>
  <c r="U7" i="1"/>
  <c r="U15" i="1" s="1"/>
  <c r="U22" i="1" s="1"/>
  <c r="W6" i="1"/>
  <c r="W14" i="1" s="1"/>
  <c r="W21" i="1" s="1"/>
  <c r="R11" i="1"/>
  <c r="R19" i="1" s="1"/>
  <c r="R26" i="1" s="1"/>
  <c r="U8" i="1"/>
  <c r="U16" i="1" s="1"/>
  <c r="U23" i="1" s="1"/>
  <c r="W10" i="1"/>
  <c r="W18" i="1" s="1"/>
  <c r="W25" i="1" s="1"/>
  <c r="T8" i="1"/>
  <c r="T16" i="1" s="1"/>
  <c r="T23" i="1" s="1"/>
  <c r="S9" i="1"/>
  <c r="S17" i="1" s="1"/>
  <c r="S24" i="1" s="1"/>
  <c r="S10" i="1"/>
  <c r="S18" i="1" s="1"/>
  <c r="S25" i="1" s="1"/>
  <c r="R9" i="1"/>
  <c r="R17" i="1" s="1"/>
  <c r="R24" i="1" s="1"/>
  <c r="W7" i="1"/>
  <c r="W15" i="1" s="1"/>
  <c r="W22" i="1" s="1"/>
  <c r="U6" i="1"/>
  <c r="U14" i="1" s="1"/>
  <c r="U21" i="1" s="1"/>
  <c r="U10" i="1"/>
  <c r="U18" i="1" s="1"/>
  <c r="U25" i="1" s="1"/>
  <c r="V11" i="1"/>
  <c r="V19" i="1" s="1"/>
  <c r="V26" i="1" s="1"/>
  <c r="W9" i="1"/>
  <c r="W17" i="1" s="1"/>
  <c r="W24" i="1" s="1"/>
  <c r="W11" i="1"/>
  <c r="W19" i="1" s="1"/>
  <c r="W26" i="1" s="1"/>
  <c r="U9" i="1"/>
  <c r="U17" i="1" s="1"/>
  <c r="U24" i="1" s="1"/>
  <c r="U11" i="1"/>
  <c r="U19" i="1" s="1"/>
  <c r="U26" i="1" s="1"/>
  <c r="S8" i="1"/>
  <c r="S16" i="1" s="1"/>
  <c r="S23" i="1" s="1"/>
  <c r="T6" i="1"/>
  <c r="T14" i="1" s="1"/>
  <c r="T21" i="1" s="1"/>
  <c r="V9" i="1"/>
  <c r="V17" i="1" s="1"/>
  <c r="V24" i="1" s="1"/>
  <c r="V8" i="1"/>
  <c r="V16" i="1" s="1"/>
  <c r="V23" i="1" s="1"/>
  <c r="V6" i="1"/>
  <c r="V14" i="1" s="1"/>
  <c r="V21" i="1" s="1"/>
  <c r="S11" i="1"/>
  <c r="S19" i="1" s="1"/>
  <c r="S26" i="1" s="1"/>
  <c r="W8" i="1"/>
  <c r="W16" i="1" s="1"/>
  <c r="W23" i="1" s="1"/>
  <c r="R7" i="1"/>
  <c r="R15" i="1" s="1"/>
  <c r="R22" i="1" s="1"/>
  <c r="V10" i="1"/>
  <c r="V18" i="1" s="1"/>
  <c r="V25" i="1" s="1"/>
  <c r="T9" i="1"/>
  <c r="T17" i="1" s="1"/>
  <c r="T24" i="1" s="1"/>
  <c r="R10" i="1"/>
  <c r="R18" i="1" s="1"/>
  <c r="R25" i="1" s="1"/>
  <c r="S6" i="1"/>
  <c r="S14" i="1" s="1"/>
  <c r="S21" i="1" s="1"/>
  <c r="T11" i="1"/>
  <c r="T19" i="1" s="1"/>
  <c r="T26" i="1" s="1"/>
  <c r="R8" i="1"/>
  <c r="R16" i="1" s="1"/>
  <c r="R23" i="1" s="1"/>
  <c r="V7" i="1"/>
  <c r="V15" i="1" s="1"/>
  <c r="V22" i="1" s="1"/>
  <c r="R6" i="1"/>
  <c r="R14" i="1" s="1"/>
  <c r="R21" i="1" s="1"/>
  <c r="R34" i="1" l="1"/>
  <c r="S31" i="1"/>
  <c r="U34" i="1"/>
  <c r="V32" i="1"/>
  <c r="U29" i="1"/>
  <c r="T30" i="1"/>
  <c r="T33" i="1"/>
  <c r="V33" i="1"/>
  <c r="T29" i="1"/>
  <c r="W31" i="1"/>
  <c r="T34" i="1"/>
  <c r="W32" i="1"/>
  <c r="W34" i="1"/>
  <c r="S30" i="1"/>
  <c r="T32" i="1"/>
  <c r="V34" i="1"/>
  <c r="U31" i="1"/>
  <c r="W33" i="1"/>
  <c r="R30" i="1"/>
  <c r="R29" i="1"/>
  <c r="S34" i="1"/>
  <c r="R32" i="1"/>
  <c r="R31" i="1"/>
  <c r="V29" i="1"/>
  <c r="U32" i="1"/>
  <c r="V30" i="1"/>
  <c r="V31" i="1"/>
  <c r="U33" i="1"/>
  <c r="W30" i="1"/>
  <c r="S33" i="1"/>
  <c r="U30" i="1"/>
  <c r="S29" i="1"/>
  <c r="R33" i="1"/>
  <c r="T31" i="1"/>
  <c r="W29" i="1"/>
  <c r="S32" i="1"/>
  <c r="Z6" i="1" l="1" a="1"/>
  <c r="AC11" i="1" s="1"/>
  <c r="AB6" i="1" l="1"/>
  <c r="AC9" i="1"/>
  <c r="AB10" i="1"/>
  <c r="AC6" i="1"/>
  <c r="AC10" i="1"/>
  <c r="AB9" i="1"/>
  <c r="AC7" i="1"/>
  <c r="AB7" i="1"/>
  <c r="AA10" i="1"/>
  <c r="Z6" i="1"/>
  <c r="Z7" i="1"/>
  <c r="Z9" i="1"/>
  <c r="AA8" i="1"/>
  <c r="AA6" i="1"/>
  <c r="AA11" i="1"/>
  <c r="Z10" i="1"/>
  <c r="Z8" i="1"/>
  <c r="AA7" i="1"/>
  <c r="AB11" i="1"/>
  <c r="AC8" i="1"/>
  <c r="AB8" i="1"/>
  <c r="AA9" i="1"/>
  <c r="Z11" i="1"/>
  <c r="AE11" i="1"/>
  <c r="AG11" i="1" s="1"/>
  <c r="Z20" i="1" s="1"/>
  <c r="AA20" i="1" s="1"/>
  <c r="AB20" i="1" s="1"/>
  <c r="AC20" i="1" s="1"/>
  <c r="AE10" i="1"/>
  <c r="AG10" i="1" s="1"/>
  <c r="Z19" i="1" s="1"/>
  <c r="AA19" i="1" s="1"/>
  <c r="AB19" i="1" s="1"/>
  <c r="AC19" i="1" s="1"/>
  <c r="AE6" i="1" l="1"/>
  <c r="AG6" i="1" s="1"/>
  <c r="Z15" i="1" s="1"/>
  <c r="AA15" i="1" s="1"/>
  <c r="AB15" i="1" s="1"/>
  <c r="AC15" i="1" s="1"/>
  <c r="AE9" i="1"/>
  <c r="AG9" i="1" s="1"/>
  <c r="Z18" i="1" s="1"/>
  <c r="AA18" i="1" s="1"/>
  <c r="AB18" i="1" s="1"/>
  <c r="AC18" i="1" s="1"/>
  <c r="AE8" i="1"/>
  <c r="AG8" i="1" s="1"/>
  <c r="Z17" i="1" s="1"/>
  <c r="AA17" i="1" s="1"/>
  <c r="AB17" i="1" s="1"/>
  <c r="AC17" i="1" s="1"/>
  <c r="AE7" i="1"/>
  <c r="AG7" i="1" s="1"/>
  <c r="Z16" i="1" s="1"/>
  <c r="AA16" i="1" s="1"/>
  <c r="AB16" i="1" s="1"/>
  <c r="AC16" i="1" s="1"/>
  <c r="AI6" i="1"/>
  <c r="AI10" i="1"/>
  <c r="AI8" i="1"/>
  <c r="AI11" i="1"/>
  <c r="AI9" i="1" l="1"/>
  <c r="AI7" i="1"/>
  <c r="AI12" i="1"/>
  <c r="AG30" i="1" a="1"/>
  <c r="AG30" i="1" s="1"/>
  <c r="AM7" i="1" a="1"/>
  <c r="AQ7" i="1" s="1"/>
  <c r="AQ9" i="1" l="1"/>
  <c r="AJ17" i="1" s="1"/>
  <c r="AI33" i="1"/>
  <c r="AH35" i="1"/>
  <c r="AP10" i="1"/>
  <c r="AI18" i="1" s="1"/>
  <c r="AN9" i="1"/>
  <c r="AG17" i="1" s="1"/>
  <c r="AJ30" i="1"/>
  <c r="AQ11" i="1"/>
  <c r="AJ19" i="1" s="1"/>
  <c r="AI35" i="1"/>
  <c r="AG35" i="1"/>
  <c r="AI34" i="1"/>
  <c r="AJ31" i="1"/>
  <c r="AI30" i="1"/>
  <c r="AG32" i="1"/>
  <c r="AJ34" i="1"/>
  <c r="AH30" i="1"/>
  <c r="AJ35" i="1"/>
  <c r="AJ33" i="1"/>
  <c r="AH33" i="1"/>
  <c r="AG34" i="1"/>
  <c r="AG33" i="1"/>
  <c r="AH34" i="1"/>
  <c r="AJ32" i="1"/>
  <c r="AG31" i="1"/>
  <c r="AI32" i="1"/>
  <c r="AO12" i="1"/>
  <c r="AH20" i="1" s="1"/>
  <c r="AH31" i="1"/>
  <c r="AH32" i="1"/>
  <c r="AN10" i="1"/>
  <c r="AG18" i="1" s="1"/>
  <c r="AI31" i="1"/>
  <c r="AP9" i="1"/>
  <c r="AI17" i="1" s="1"/>
  <c r="AR12" i="1"/>
  <c r="AK20" i="1" s="1"/>
  <c r="AM10" i="1"/>
  <c r="AF18" i="1" s="1"/>
  <c r="AM8" i="1"/>
  <c r="AF16" i="1" s="1"/>
  <c r="AP7" i="1"/>
  <c r="AI15" i="1" s="1"/>
  <c r="AR7" i="1"/>
  <c r="AK15" i="1" s="1"/>
  <c r="AP12" i="1"/>
  <c r="AI20" i="1" s="1"/>
  <c r="AO8" i="1"/>
  <c r="AH16" i="1" s="1"/>
  <c r="AM7" i="1"/>
  <c r="AF15" i="1" s="1"/>
  <c r="AR11" i="1"/>
  <c r="AK19" i="1" s="1"/>
  <c r="AR9" i="1"/>
  <c r="AK17" i="1" s="1"/>
  <c r="AO10" i="1"/>
  <c r="AH18" i="1" s="1"/>
  <c r="AP8" i="1"/>
  <c r="AI16" i="1" s="1"/>
  <c r="AQ10" i="1"/>
  <c r="AJ18" i="1" s="1"/>
  <c r="AN12" i="1"/>
  <c r="AG20" i="1" s="1"/>
  <c r="AO11" i="1"/>
  <c r="AH19" i="1" s="1"/>
  <c r="AQ8" i="1"/>
  <c r="AJ16" i="1" s="1"/>
  <c r="AQ12" i="1"/>
  <c r="AJ20" i="1" s="1"/>
  <c r="AR10" i="1"/>
  <c r="AK18" i="1" s="1"/>
  <c r="AM11" i="1"/>
  <c r="AF19" i="1" s="1"/>
  <c r="AR8" i="1"/>
  <c r="AK16" i="1" s="1"/>
  <c r="AO7" i="1"/>
  <c r="AH15" i="1" s="1"/>
  <c r="AP11" i="1"/>
  <c r="AI19" i="1" s="1"/>
  <c r="AM12" i="1"/>
  <c r="AF20" i="1" s="1"/>
  <c r="AN8" i="1"/>
  <c r="AG16" i="1" s="1"/>
  <c r="AM9" i="1"/>
  <c r="AF17" i="1" s="1"/>
  <c r="AN7" i="1"/>
  <c r="AG15" i="1" s="1"/>
  <c r="AN11" i="1"/>
  <c r="AG19" i="1" s="1"/>
  <c r="AO9" i="1"/>
  <c r="AH17" i="1" s="1"/>
  <c r="AJ15" i="1"/>
  <c r="AF38" i="1" l="1" a="1"/>
  <c r="AG38" i="1" s="1"/>
  <c r="AL38" i="1" s="1"/>
  <c r="D27" i="4" s="1"/>
  <c r="AM20" i="1"/>
  <c r="AQ20" i="1" s="1"/>
  <c r="AB27" i="1" s="1"/>
  <c r="AM17" i="1"/>
  <c r="AM19" i="1"/>
  <c r="AM18" i="1"/>
  <c r="AM15" i="1"/>
  <c r="AM16" i="1"/>
  <c r="AP20" i="1" l="1"/>
  <c r="AA27" i="1" s="1"/>
  <c r="AG40" i="1"/>
  <c r="AL40" i="1" s="1"/>
  <c r="D29" i="4" s="1"/>
  <c r="AG39" i="1"/>
  <c r="AL39" i="1" s="1"/>
  <c r="D28" i="4" s="1"/>
  <c r="AI43" i="1"/>
  <c r="AN43" i="1" s="1"/>
  <c r="F32" i="4" s="1"/>
  <c r="AI40" i="1"/>
  <c r="AN40" i="1" s="1"/>
  <c r="F29" i="4" s="1"/>
  <c r="AI42" i="1"/>
  <c r="AN42" i="1" s="1"/>
  <c r="F31" i="4" s="1"/>
  <c r="AI39" i="1"/>
  <c r="AN39" i="1" s="1"/>
  <c r="F28" i="4" s="1"/>
  <c r="AH40" i="1"/>
  <c r="AM40" i="1" s="1"/>
  <c r="E29" i="4" s="1"/>
  <c r="AF41" i="1"/>
  <c r="AK41" i="1" s="1"/>
  <c r="C30" i="4" s="1"/>
  <c r="AH39" i="1"/>
  <c r="AM39" i="1" s="1"/>
  <c r="E28" i="4" s="1"/>
  <c r="AF40" i="1"/>
  <c r="AK40" i="1" s="1"/>
  <c r="C29" i="4" s="1"/>
  <c r="AI38" i="1"/>
  <c r="AN38" i="1" s="1"/>
  <c r="F27" i="4" s="1"/>
  <c r="AG41" i="1"/>
  <c r="AL41" i="1" s="1"/>
  <c r="D30" i="4" s="1"/>
  <c r="AG43" i="1"/>
  <c r="AL43" i="1" s="1"/>
  <c r="D32" i="4" s="1"/>
  <c r="AF38" i="1"/>
  <c r="AK38" i="1" s="1"/>
  <c r="C27" i="4" s="1"/>
  <c r="AG42" i="1"/>
  <c r="AL42" i="1" s="1"/>
  <c r="D31" i="4" s="1"/>
  <c r="AH38" i="1"/>
  <c r="AM38" i="1" s="1"/>
  <c r="E27" i="4" s="1"/>
  <c r="AH43" i="1"/>
  <c r="AM43" i="1" s="1"/>
  <c r="E32" i="4" s="1"/>
  <c r="AF42" i="1"/>
  <c r="AK42" i="1" s="1"/>
  <c r="C31" i="4" s="1"/>
  <c r="AF39" i="1"/>
  <c r="AK39" i="1" s="1"/>
  <c r="C28" i="4" s="1"/>
  <c r="AI41" i="1"/>
  <c r="AN41" i="1" s="1"/>
  <c r="F30" i="4" s="1"/>
  <c r="AH41" i="1"/>
  <c r="AM41" i="1" s="1"/>
  <c r="E30" i="4" s="1"/>
  <c r="AF43" i="1"/>
  <c r="AK43" i="1" s="1"/>
  <c r="C32" i="4" s="1"/>
  <c r="AH42" i="1"/>
  <c r="AM42" i="1" s="1"/>
  <c r="E31" i="4" s="1"/>
  <c r="AT20" i="1"/>
  <c r="AE27" i="1" s="1"/>
  <c r="AR20" i="1"/>
  <c r="AC27" i="1" s="1"/>
  <c r="AO20" i="1"/>
  <c r="Z27" i="1" s="1"/>
  <c r="AS20" i="1"/>
  <c r="AD27" i="1" s="1"/>
  <c r="AS16" i="1"/>
  <c r="AD23" i="1" s="1"/>
  <c r="AR16" i="1"/>
  <c r="AC23" i="1" s="1"/>
  <c r="AT16" i="1"/>
  <c r="AE23" i="1" s="1"/>
  <c r="AQ16" i="1"/>
  <c r="AB23" i="1" s="1"/>
  <c r="AP16" i="1"/>
  <c r="AA23" i="1" s="1"/>
  <c r="AO16" i="1"/>
  <c r="Z23" i="1" s="1"/>
  <c r="AO17" i="1"/>
  <c r="Z24" i="1" s="1"/>
  <c r="AP17" i="1"/>
  <c r="AA24" i="1" s="1"/>
  <c r="AQ17" i="1"/>
  <c r="AB24" i="1" s="1"/>
  <c r="AR17" i="1"/>
  <c r="AC24" i="1" s="1"/>
  <c r="AS17" i="1"/>
  <c r="AD24" i="1" s="1"/>
  <c r="AT17" i="1"/>
  <c r="AE24" i="1" s="1"/>
  <c r="AT15" i="1"/>
  <c r="AE22" i="1" s="1"/>
  <c r="AR15" i="1"/>
  <c r="AC22" i="1" s="1"/>
  <c r="AO15" i="1"/>
  <c r="Z22" i="1" s="1"/>
  <c r="AP15" i="1"/>
  <c r="AA22" i="1" s="1"/>
  <c r="AQ15" i="1"/>
  <c r="AB22" i="1" s="1"/>
  <c r="AS15" i="1"/>
  <c r="AD22" i="1" s="1"/>
  <c r="AS18" i="1"/>
  <c r="AD25" i="1" s="1"/>
  <c r="AP18" i="1"/>
  <c r="AA25" i="1" s="1"/>
  <c r="AR18" i="1"/>
  <c r="AC25" i="1" s="1"/>
  <c r="AO18" i="1"/>
  <c r="Z25" i="1" s="1"/>
  <c r="AQ18" i="1"/>
  <c r="AB25" i="1" s="1"/>
  <c r="AT18" i="1"/>
  <c r="AE25" i="1" s="1"/>
  <c r="AO19" i="1"/>
  <c r="Z26" i="1" s="1"/>
  <c r="AP19" i="1"/>
  <c r="AA26" i="1" s="1"/>
  <c r="AR19" i="1"/>
  <c r="AC26" i="1" s="1"/>
  <c r="AS19" i="1"/>
  <c r="AD26" i="1" s="1"/>
  <c r="AT19" i="1"/>
  <c r="AE26" i="1" s="1"/>
  <c r="AQ19" i="1"/>
  <c r="AB26" i="1" s="1"/>
  <c r="M27" i="4" l="1" a="1"/>
  <c r="O28" i="4" s="1"/>
  <c r="Z38" i="1" a="1"/>
  <c r="Z30" i="1" a="1"/>
  <c r="N28" i="4" l="1"/>
  <c r="P31" i="4"/>
  <c r="N30" i="4"/>
  <c r="O30" i="4"/>
  <c r="P30" i="4"/>
  <c r="M31" i="4"/>
  <c r="N29" i="4"/>
  <c r="N31" i="4"/>
  <c r="O32" i="4"/>
  <c r="O27" i="4"/>
  <c r="O29" i="4"/>
  <c r="M32" i="4"/>
  <c r="P28" i="4"/>
  <c r="M27" i="4"/>
  <c r="P29" i="4"/>
  <c r="P27" i="4"/>
  <c r="P32" i="4"/>
  <c r="N27" i="4"/>
  <c r="M30" i="4"/>
  <c r="N32" i="4"/>
  <c r="M28" i="4"/>
  <c r="M29" i="4"/>
  <c r="O31" i="4"/>
  <c r="AA30" i="1"/>
  <c r="AC32" i="1"/>
  <c r="AA34" i="1"/>
  <c r="AB32" i="1"/>
  <c r="AC30" i="1"/>
  <c r="AA32" i="1"/>
  <c r="Z30" i="1"/>
  <c r="Z32" i="1"/>
  <c r="AA33" i="1"/>
  <c r="AC31" i="1"/>
  <c r="AB35" i="1"/>
  <c r="Z35" i="1"/>
  <c r="Z34" i="1"/>
  <c r="AB31" i="1"/>
  <c r="AB30" i="1"/>
  <c r="AA31" i="1"/>
  <c r="AC33" i="1"/>
  <c r="AB34" i="1"/>
  <c r="Z31" i="1"/>
  <c r="AB33" i="1"/>
  <c r="AC35" i="1"/>
  <c r="AA35" i="1"/>
  <c r="Z33" i="1"/>
  <c r="AC34" i="1"/>
  <c r="Z39" i="1"/>
  <c r="AC43" i="1"/>
  <c r="AA40" i="1"/>
  <c r="AB43" i="1"/>
  <c r="Z40" i="1"/>
  <c r="Z42" i="1"/>
  <c r="AA43" i="1"/>
  <c r="AC40" i="1"/>
  <c r="AC39" i="1"/>
  <c r="AC38" i="1"/>
  <c r="Z43" i="1"/>
  <c r="AB38" i="1"/>
  <c r="AB39" i="1"/>
  <c r="AB41" i="1"/>
  <c r="AC41" i="1"/>
  <c r="Z38" i="1"/>
  <c r="AC42" i="1"/>
  <c r="AA41" i="1"/>
  <c r="AA39" i="1"/>
  <c r="Z41" i="1"/>
  <c r="AB42" i="1"/>
  <c r="AB40" i="1"/>
  <c r="AA38" i="1"/>
  <c r="AA42" i="1"/>
  <c r="AF56" i="1" l="1" a="1"/>
  <c r="AF48" i="1" a="1"/>
  <c r="AG48" i="1" l="1"/>
  <c r="AL48" i="1" s="1"/>
  <c r="D13" i="4" s="1"/>
  <c r="AG53" i="1"/>
  <c r="AL53" i="1" s="1"/>
  <c r="D18" i="4" s="1"/>
  <c r="AF49" i="1"/>
  <c r="AK49" i="1" s="1"/>
  <c r="C14" i="4" s="1"/>
  <c r="AF53" i="1"/>
  <c r="AK53" i="1" s="1"/>
  <c r="C18" i="4" s="1"/>
  <c r="AG52" i="1"/>
  <c r="AL52" i="1" s="1"/>
  <c r="D17" i="4" s="1"/>
  <c r="AH49" i="1"/>
  <c r="AM49" i="1" s="1"/>
  <c r="E14" i="4" s="1"/>
  <c r="AI48" i="1"/>
  <c r="AN48" i="1" s="1"/>
  <c r="F13" i="4" s="1"/>
  <c r="AI52" i="1"/>
  <c r="AN52" i="1" s="1"/>
  <c r="F17" i="4" s="1"/>
  <c r="AF52" i="1"/>
  <c r="AK52" i="1" s="1"/>
  <c r="C17" i="4" s="1"/>
  <c r="AG49" i="1"/>
  <c r="AL49" i="1" s="1"/>
  <c r="D14" i="4" s="1"/>
  <c r="AH48" i="1"/>
  <c r="AM48" i="1" s="1"/>
  <c r="E13" i="4" s="1"/>
  <c r="AF48" i="1"/>
  <c r="AK48" i="1" s="1"/>
  <c r="C13" i="4" s="1"/>
  <c r="AI51" i="1"/>
  <c r="AN51" i="1" s="1"/>
  <c r="F16" i="4" s="1"/>
  <c r="AG51" i="1"/>
  <c r="AL51" i="1" s="1"/>
  <c r="D16" i="4" s="1"/>
  <c r="AH50" i="1"/>
  <c r="AM50" i="1" s="1"/>
  <c r="E15" i="4" s="1"/>
  <c r="AI53" i="1"/>
  <c r="AN53" i="1" s="1"/>
  <c r="F18" i="4" s="1"/>
  <c r="AH51" i="1"/>
  <c r="AM51" i="1" s="1"/>
  <c r="E16" i="4" s="1"/>
  <c r="AF50" i="1"/>
  <c r="AK50" i="1" s="1"/>
  <c r="C15" i="4" s="1"/>
  <c r="AG50" i="1"/>
  <c r="AL50" i="1" s="1"/>
  <c r="D15" i="4" s="1"/>
  <c r="AI49" i="1"/>
  <c r="AN49" i="1" s="1"/>
  <c r="F14" i="4" s="1"/>
  <c r="AH53" i="1"/>
  <c r="AM53" i="1" s="1"/>
  <c r="E18" i="4" s="1"/>
  <c r="AH52" i="1"/>
  <c r="AM52" i="1" s="1"/>
  <c r="E17" i="4" s="1"/>
  <c r="AF51" i="1"/>
  <c r="AK51" i="1" s="1"/>
  <c r="C16" i="4" s="1"/>
  <c r="AI50" i="1"/>
  <c r="AN50" i="1" s="1"/>
  <c r="F15" i="4" s="1"/>
  <c r="AI56" i="1"/>
  <c r="AN56" i="1" s="1"/>
  <c r="F20" i="4" s="1"/>
  <c r="AF56" i="1"/>
  <c r="AK56" i="1" s="1"/>
  <c r="C20" i="4" s="1"/>
  <c r="AH61" i="1"/>
  <c r="AM61" i="1" s="1"/>
  <c r="E25" i="4" s="1"/>
  <c r="AF58" i="1"/>
  <c r="AK58" i="1" s="1"/>
  <c r="C22" i="4" s="1"/>
  <c r="AG61" i="1"/>
  <c r="AL61" i="1" s="1"/>
  <c r="D25" i="4" s="1"/>
  <c r="AF60" i="1"/>
  <c r="AK60" i="1" s="1"/>
  <c r="C24" i="4" s="1"/>
  <c r="AI57" i="1"/>
  <c r="AN57" i="1" s="1"/>
  <c r="F21" i="4" s="1"/>
  <c r="AH56" i="1"/>
  <c r="AM56" i="1" s="1"/>
  <c r="E20" i="4" s="1"/>
  <c r="AF61" i="1"/>
  <c r="AK61" i="1" s="1"/>
  <c r="C25" i="4" s="1"/>
  <c r="AI59" i="1"/>
  <c r="AN59" i="1" s="1"/>
  <c r="F23" i="4" s="1"/>
  <c r="AH57" i="1"/>
  <c r="AM57" i="1" s="1"/>
  <c r="E21" i="4" s="1"/>
  <c r="AG56" i="1"/>
  <c r="AL56" i="1" s="1"/>
  <c r="D20" i="4" s="1"/>
  <c r="AH59" i="1"/>
  <c r="AM59" i="1" s="1"/>
  <c r="E23" i="4" s="1"/>
  <c r="AH60" i="1"/>
  <c r="AM60" i="1" s="1"/>
  <c r="E24" i="4" s="1"/>
  <c r="AF59" i="1"/>
  <c r="AK59" i="1" s="1"/>
  <c r="C23" i="4" s="1"/>
  <c r="AF57" i="1"/>
  <c r="AK57" i="1" s="1"/>
  <c r="C21" i="4" s="1"/>
  <c r="AI58" i="1"/>
  <c r="AN58" i="1" s="1"/>
  <c r="F22" i="4" s="1"/>
  <c r="AG60" i="1"/>
  <c r="AL60" i="1" s="1"/>
  <c r="D24" i="4" s="1"/>
  <c r="AH58" i="1"/>
  <c r="AM58" i="1" s="1"/>
  <c r="E22" i="4" s="1"/>
  <c r="AI61" i="1"/>
  <c r="AN61" i="1" s="1"/>
  <c r="F25" i="4" s="1"/>
  <c r="AG58" i="1"/>
  <c r="AL58" i="1" s="1"/>
  <c r="D22" i="4" s="1"/>
  <c r="AI60" i="1"/>
  <c r="AN60" i="1" s="1"/>
  <c r="F24" i="4" s="1"/>
  <c r="AG57" i="1"/>
  <c r="AL57" i="1" s="1"/>
  <c r="D21" i="4" s="1"/>
  <c r="AG59" i="1"/>
  <c r="AL59" i="1" s="1"/>
  <c r="D23" i="4" s="1"/>
  <c r="M9" i="4" l="1" a="1"/>
  <c r="M18" i="4" a="1"/>
  <c r="M23" i="4" l="1"/>
  <c r="N22" i="4"/>
  <c r="M22" i="4"/>
  <c r="O18" i="4"/>
  <c r="P21" i="4"/>
  <c r="P22" i="4"/>
  <c r="P18" i="4"/>
  <c r="N19" i="4"/>
  <c r="O22" i="4"/>
  <c r="O19" i="4"/>
  <c r="M19" i="4"/>
  <c r="M18" i="4"/>
  <c r="N21" i="4"/>
  <c r="O23" i="4"/>
  <c r="P19" i="4"/>
  <c r="M21" i="4"/>
  <c r="P20" i="4"/>
  <c r="M20" i="4"/>
  <c r="O20" i="4"/>
  <c r="N18" i="4"/>
  <c r="N23" i="4"/>
  <c r="P23" i="4"/>
  <c r="N20" i="4"/>
  <c r="O21" i="4"/>
  <c r="O13" i="4"/>
  <c r="M13" i="4"/>
  <c r="P12" i="4"/>
  <c r="O12" i="4"/>
  <c r="P11" i="4"/>
  <c r="N12" i="4"/>
  <c r="O11" i="4"/>
  <c r="O9" i="4"/>
  <c r="N11" i="4"/>
  <c r="O14" i="4"/>
  <c r="P14" i="4"/>
  <c r="M11" i="4"/>
  <c r="M10" i="4"/>
  <c r="P13" i="4"/>
  <c r="N10" i="4"/>
  <c r="M9" i="4"/>
  <c r="O10" i="4"/>
  <c r="M14" i="4"/>
  <c r="P10" i="4"/>
  <c r="N13" i="4"/>
  <c r="N9" i="4"/>
  <c r="M12" i="4"/>
  <c r="P9" i="4"/>
  <c r="N14" i="4"/>
  <c r="R6" i="4" l="1" a="1"/>
  <c r="V10" i="4" l="1"/>
  <c r="V18" i="4" s="1"/>
  <c r="V25" i="4" s="1"/>
  <c r="S11" i="4"/>
  <c r="S19" i="4" s="1"/>
  <c r="S26" i="4" s="1"/>
  <c r="S9" i="4"/>
  <c r="S17" i="4" s="1"/>
  <c r="S24" i="4" s="1"/>
  <c r="R8" i="4"/>
  <c r="R16" i="4" s="1"/>
  <c r="R23" i="4" s="1"/>
  <c r="S7" i="4"/>
  <c r="S15" i="4" s="1"/>
  <c r="S22" i="4" s="1"/>
  <c r="R9" i="4"/>
  <c r="R17" i="4" s="1"/>
  <c r="R24" i="4" s="1"/>
  <c r="T10" i="4"/>
  <c r="T18" i="4" s="1"/>
  <c r="T25" i="4" s="1"/>
  <c r="R11" i="4"/>
  <c r="R19" i="4" s="1"/>
  <c r="R26" i="4" s="1"/>
  <c r="W8" i="4"/>
  <c r="W16" i="4" s="1"/>
  <c r="W23" i="4" s="1"/>
  <c r="W7" i="4"/>
  <c r="W15" i="4" s="1"/>
  <c r="W22" i="4" s="1"/>
  <c r="R7" i="4"/>
  <c r="R15" i="4" s="1"/>
  <c r="R22" i="4" s="1"/>
  <c r="R6" i="4"/>
  <c r="R14" i="4" s="1"/>
  <c r="R21" i="4" s="1"/>
  <c r="S10" i="4"/>
  <c r="S18" i="4" s="1"/>
  <c r="S25" i="4" s="1"/>
  <c r="R10" i="4"/>
  <c r="R18" i="4" s="1"/>
  <c r="R25" i="4" s="1"/>
  <c r="V7" i="4"/>
  <c r="V15" i="4" s="1"/>
  <c r="V22" i="4" s="1"/>
  <c r="W6" i="4"/>
  <c r="W14" i="4" s="1"/>
  <c r="W21" i="4" s="1"/>
  <c r="W11" i="4"/>
  <c r="W19" i="4" s="1"/>
  <c r="W26" i="4" s="1"/>
  <c r="W9" i="4"/>
  <c r="W17" i="4" s="1"/>
  <c r="W24" i="4" s="1"/>
  <c r="V8" i="4"/>
  <c r="V16" i="4" s="1"/>
  <c r="V23" i="4" s="1"/>
  <c r="V6" i="4"/>
  <c r="V14" i="4" s="1"/>
  <c r="V21" i="4" s="1"/>
  <c r="V11" i="4"/>
  <c r="V19" i="4" s="1"/>
  <c r="V26" i="4" s="1"/>
  <c r="V9" i="4"/>
  <c r="V17" i="4" s="1"/>
  <c r="V24" i="4" s="1"/>
  <c r="U8" i="4"/>
  <c r="U16" i="4" s="1"/>
  <c r="U23" i="4" s="1"/>
  <c r="U6" i="4"/>
  <c r="U14" i="4" s="1"/>
  <c r="U21" i="4" s="1"/>
  <c r="U10" i="4"/>
  <c r="U18" i="4" s="1"/>
  <c r="U25" i="4" s="1"/>
  <c r="S8" i="4"/>
  <c r="S16" i="4" s="1"/>
  <c r="S23" i="4" s="1"/>
  <c r="W10" i="4"/>
  <c r="W18" i="4" s="1"/>
  <c r="W25" i="4" s="1"/>
  <c r="T8" i="4"/>
  <c r="T16" i="4" s="1"/>
  <c r="T23" i="4" s="1"/>
  <c r="U11" i="4"/>
  <c r="U19" i="4" s="1"/>
  <c r="U26" i="4" s="1"/>
  <c r="U7" i="4"/>
  <c r="U15" i="4" s="1"/>
  <c r="U22" i="4" s="1"/>
  <c r="T11" i="4"/>
  <c r="T19" i="4" s="1"/>
  <c r="T26" i="4" s="1"/>
  <c r="T7" i="4"/>
  <c r="T15" i="4" s="1"/>
  <c r="T22" i="4" s="1"/>
  <c r="U9" i="4"/>
  <c r="U17" i="4" s="1"/>
  <c r="U24" i="4" s="1"/>
  <c r="T6" i="4"/>
  <c r="T14" i="4" s="1"/>
  <c r="T21" i="4" s="1"/>
  <c r="T9" i="4"/>
  <c r="T17" i="4" s="1"/>
  <c r="T24" i="4" s="1"/>
  <c r="S6" i="4"/>
  <c r="S14" i="4" s="1"/>
  <c r="S21" i="4" s="1"/>
  <c r="T31" i="4" l="1"/>
  <c r="V32" i="4"/>
  <c r="R33" i="4"/>
  <c r="U30" i="4"/>
  <c r="W29" i="4"/>
  <c r="S34" i="4"/>
  <c r="V33" i="4"/>
  <c r="U34" i="4"/>
  <c r="V30" i="4"/>
  <c r="W33" i="4"/>
  <c r="S33" i="4"/>
  <c r="S31" i="4"/>
  <c r="R29" i="4"/>
  <c r="U33" i="4"/>
  <c r="R30" i="4"/>
  <c r="U29" i="4"/>
  <c r="W30" i="4"/>
  <c r="U31" i="4"/>
  <c r="W31" i="4"/>
  <c r="S29" i="4"/>
  <c r="R34" i="4"/>
  <c r="T32" i="4"/>
  <c r="V34" i="4"/>
  <c r="T33" i="4"/>
  <c r="T29" i="4"/>
  <c r="V29" i="4"/>
  <c r="R32" i="4"/>
  <c r="U32" i="4"/>
  <c r="V31" i="4"/>
  <c r="S30" i="4"/>
  <c r="T30" i="4"/>
  <c r="W32" i="4"/>
  <c r="R31" i="4"/>
  <c r="T34" i="4"/>
  <c r="W34" i="4"/>
  <c r="S32" i="4"/>
  <c r="Z6" i="4" l="1" a="1"/>
  <c r="AB7" i="4" l="1"/>
  <c r="Z8" i="4"/>
  <c r="Z11" i="4"/>
  <c r="AB6" i="4"/>
  <c r="AA7" i="4"/>
  <c r="AA6" i="4"/>
  <c r="AC10" i="4"/>
  <c r="AC11" i="4"/>
  <c r="AC6" i="4"/>
  <c r="Z6" i="4"/>
  <c r="AA10" i="4"/>
  <c r="Z10" i="4"/>
  <c r="AC9" i="4"/>
  <c r="AB9" i="4"/>
  <c r="AB10" i="4"/>
  <c r="AA9" i="4"/>
  <c r="Z7" i="4"/>
  <c r="Z9" i="4"/>
  <c r="AB11" i="4"/>
  <c r="AC8" i="4"/>
  <c r="AC7" i="4"/>
  <c r="AB8" i="4"/>
  <c r="AA11" i="4"/>
  <c r="AA8" i="4"/>
  <c r="AE6" i="4" l="1"/>
  <c r="AE8" i="4"/>
  <c r="AI8" i="4" s="1"/>
  <c r="AE10" i="4"/>
  <c r="AI6" i="4"/>
  <c r="AG6" i="4"/>
  <c r="Z15" i="4" s="1"/>
  <c r="AE9" i="4"/>
  <c r="AE7" i="4"/>
  <c r="AE11" i="4"/>
  <c r="AG8" i="4" l="1"/>
  <c r="Z17" i="4" s="1"/>
  <c r="AA17" i="4" s="1"/>
  <c r="AB17" i="4" s="1"/>
  <c r="AC17" i="4" s="1"/>
  <c r="AI10" i="4"/>
  <c r="AG10" i="4"/>
  <c r="Z19" i="4" s="1"/>
  <c r="AA19" i="4" s="1"/>
  <c r="AB19" i="4" s="1"/>
  <c r="AC19" i="4" s="1"/>
  <c r="AG11" i="4"/>
  <c r="Z20" i="4" s="1"/>
  <c r="AA20" i="4" s="1"/>
  <c r="AB20" i="4" s="1"/>
  <c r="AC20" i="4" s="1"/>
  <c r="AI11" i="4"/>
  <c r="AI7" i="4"/>
  <c r="AG7" i="4"/>
  <c r="Z16" i="4" s="1"/>
  <c r="AA16" i="4" s="1"/>
  <c r="AB16" i="4" s="1"/>
  <c r="AC16" i="4" s="1"/>
  <c r="AI9" i="4"/>
  <c r="AG9" i="4"/>
  <c r="Z18" i="4" s="1"/>
  <c r="AA18" i="4" s="1"/>
  <c r="AB18" i="4" s="1"/>
  <c r="AC18" i="4" s="1"/>
  <c r="AA15" i="4"/>
  <c r="AB15" i="4" s="1"/>
  <c r="AC15" i="4" s="1"/>
  <c r="AG30" i="4" l="1" a="1"/>
  <c r="AJ34" i="4" s="1"/>
  <c r="AM7" i="4" a="1"/>
  <c r="AM12" i="4" s="1"/>
  <c r="AI12" i="4"/>
  <c r="AQ7" i="4" l="1"/>
  <c r="AJ15" i="4" s="1"/>
  <c r="AO12" i="4"/>
  <c r="AH20" i="4" s="1"/>
  <c r="AR11" i="4"/>
  <c r="AK19" i="4" s="1"/>
  <c r="AG33" i="4"/>
  <c r="AI31" i="4"/>
  <c r="AO7" i="4"/>
  <c r="AH15" i="4" s="1"/>
  <c r="AP11" i="4"/>
  <c r="AI19" i="4" s="1"/>
  <c r="AQ10" i="4"/>
  <c r="AJ18" i="4" s="1"/>
  <c r="AN10" i="4"/>
  <c r="AG18" i="4" s="1"/>
  <c r="AM8" i="4"/>
  <c r="AF16" i="4" s="1"/>
  <c r="AP7" i="4"/>
  <c r="AI15" i="4" s="1"/>
  <c r="AH33" i="4"/>
  <c r="AN11" i="4"/>
  <c r="AG19" i="4" s="1"/>
  <c r="AN9" i="4"/>
  <c r="AG17" i="4" s="1"/>
  <c r="AG34" i="4"/>
  <c r="AG35" i="4"/>
  <c r="AQ12" i="4"/>
  <c r="AJ20" i="4" s="1"/>
  <c r="AP8" i="4"/>
  <c r="AI16" i="4" s="1"/>
  <c r="AH31" i="4"/>
  <c r="AI33" i="4"/>
  <c r="AR8" i="4"/>
  <c r="AK16" i="4" s="1"/>
  <c r="AP10" i="4"/>
  <c r="AI18" i="4" s="1"/>
  <c r="AH34" i="4"/>
  <c r="AJ31" i="4"/>
  <c r="AN8" i="4"/>
  <c r="AG16" i="4" s="1"/>
  <c r="AO9" i="4"/>
  <c r="AH17" i="4" s="1"/>
  <c r="AG32" i="4"/>
  <c r="AJ33" i="4"/>
  <c r="AR7" i="4"/>
  <c r="AK15" i="4" s="1"/>
  <c r="AQ11" i="4"/>
  <c r="AJ19" i="4" s="1"/>
  <c r="AI30" i="4"/>
  <c r="AH35" i="4"/>
  <c r="AM9" i="4"/>
  <c r="AF17" i="4" s="1"/>
  <c r="AN7" i="4"/>
  <c r="AG15" i="4" s="1"/>
  <c r="AH32" i="4"/>
  <c r="AI35" i="4"/>
  <c r="AR10" i="4"/>
  <c r="AK18" i="4" s="1"/>
  <c r="AO11" i="4"/>
  <c r="AH19" i="4" s="1"/>
  <c r="AQ9" i="4"/>
  <c r="AJ17" i="4" s="1"/>
  <c r="AI34" i="4"/>
  <c r="AJ35" i="4"/>
  <c r="AM10" i="4"/>
  <c r="AF18" i="4" s="1"/>
  <c r="AO10" i="4"/>
  <c r="AH18" i="4" s="1"/>
  <c r="AQ8" i="4"/>
  <c r="AJ16" i="4" s="1"/>
  <c r="AI32" i="4"/>
  <c r="AG30" i="4"/>
  <c r="AM7" i="4"/>
  <c r="AF15" i="4" s="1"/>
  <c r="AN12" i="4"/>
  <c r="AG20" i="4" s="1"/>
  <c r="AP9" i="4"/>
  <c r="AI17" i="4" s="1"/>
  <c r="AJ30" i="4"/>
  <c r="AG31" i="4"/>
  <c r="AP12" i="4"/>
  <c r="AI20" i="4" s="1"/>
  <c r="AO8" i="4"/>
  <c r="AH16" i="4" s="1"/>
  <c r="AR9" i="4"/>
  <c r="AK17" i="4" s="1"/>
  <c r="AJ32" i="4"/>
  <c r="AH30" i="4"/>
  <c r="AM11" i="4"/>
  <c r="AF19" i="4" s="1"/>
  <c r="AR12" i="4"/>
  <c r="AK20" i="4" s="1"/>
  <c r="AF20" i="4"/>
  <c r="AF38" i="4" l="1" a="1"/>
  <c r="AF42" i="4" s="1"/>
  <c r="AK42" i="4" s="1"/>
  <c r="C31" i="9" s="1"/>
  <c r="AM17" i="4"/>
  <c r="AR17" i="4" s="1"/>
  <c r="AC24" i="4" s="1"/>
  <c r="AM15" i="4"/>
  <c r="AO15" i="4" s="1"/>
  <c r="Z22" i="4" s="1"/>
  <c r="AM19" i="4"/>
  <c r="AM18" i="4"/>
  <c r="AM16" i="4"/>
  <c r="AM20" i="4"/>
  <c r="AP17" i="4" l="1"/>
  <c r="AA24" i="4" s="1"/>
  <c r="AF39" i="4"/>
  <c r="AK39" i="4" s="1"/>
  <c r="C28" i="9" s="1"/>
  <c r="AI38" i="4"/>
  <c r="AN38" i="4" s="1"/>
  <c r="F27" i="9" s="1"/>
  <c r="AO17" i="4"/>
  <c r="Z24" i="4" s="1"/>
  <c r="AG41" i="4"/>
  <c r="AL41" i="4" s="1"/>
  <c r="D30" i="9" s="1"/>
  <c r="AG39" i="4"/>
  <c r="AL39" i="4" s="1"/>
  <c r="D28" i="9" s="1"/>
  <c r="AF40" i="4"/>
  <c r="AK40" i="4" s="1"/>
  <c r="C29" i="9" s="1"/>
  <c r="AG42" i="4"/>
  <c r="AL42" i="4" s="1"/>
  <c r="D31" i="9" s="1"/>
  <c r="AG43" i="4"/>
  <c r="AL43" i="4" s="1"/>
  <c r="D32" i="9" s="1"/>
  <c r="AH39" i="4"/>
  <c r="AM39" i="4" s="1"/>
  <c r="E28" i="9" s="1"/>
  <c r="AG40" i="4"/>
  <c r="AL40" i="4" s="1"/>
  <c r="D29" i="9" s="1"/>
  <c r="AH42" i="4"/>
  <c r="AM42" i="4" s="1"/>
  <c r="E31" i="9" s="1"/>
  <c r="AF38" i="4"/>
  <c r="AK38" i="4" s="1"/>
  <c r="C27" i="9" s="1"/>
  <c r="AH41" i="4"/>
  <c r="AM41" i="4" s="1"/>
  <c r="E30" i="9" s="1"/>
  <c r="AH40" i="4"/>
  <c r="AM40" i="4" s="1"/>
  <c r="E29" i="9" s="1"/>
  <c r="AI42" i="4"/>
  <c r="AN42" i="4" s="1"/>
  <c r="F31" i="9" s="1"/>
  <c r="AH43" i="4"/>
  <c r="AM43" i="4" s="1"/>
  <c r="E32" i="9" s="1"/>
  <c r="AI41" i="4"/>
  <c r="AN41" i="4" s="1"/>
  <c r="F30" i="9" s="1"/>
  <c r="AI40" i="4"/>
  <c r="AN40" i="4" s="1"/>
  <c r="F29" i="9" s="1"/>
  <c r="AF43" i="4"/>
  <c r="AK43" i="4" s="1"/>
  <c r="C32" i="9" s="1"/>
  <c r="AG38" i="4"/>
  <c r="AL38" i="4" s="1"/>
  <c r="D27" i="9" s="1"/>
  <c r="AI39" i="4"/>
  <c r="AN39" i="4" s="1"/>
  <c r="F28" i="9" s="1"/>
  <c r="AH38" i="4"/>
  <c r="AM38" i="4" s="1"/>
  <c r="E27" i="9" s="1"/>
  <c r="AF41" i="4"/>
  <c r="AK41" i="4" s="1"/>
  <c r="C30" i="9" s="1"/>
  <c r="AI43" i="4"/>
  <c r="AN43" i="4" s="1"/>
  <c r="F32" i="9" s="1"/>
  <c r="AP15" i="4"/>
  <c r="AA22" i="4" s="1"/>
  <c r="AS15" i="4"/>
  <c r="AD22" i="4" s="1"/>
  <c r="AQ17" i="4"/>
  <c r="AB24" i="4" s="1"/>
  <c r="AS17" i="4"/>
  <c r="AD24" i="4" s="1"/>
  <c r="AR15" i="4"/>
  <c r="AC22" i="4" s="1"/>
  <c r="AT15" i="4"/>
  <c r="AE22" i="4" s="1"/>
  <c r="AT17" i="4"/>
  <c r="AE24" i="4" s="1"/>
  <c r="AQ15" i="4"/>
  <c r="AB22" i="4" s="1"/>
  <c r="AS20" i="4"/>
  <c r="AD27" i="4" s="1"/>
  <c r="AT20" i="4"/>
  <c r="AE27" i="4" s="1"/>
  <c r="AP20" i="4"/>
  <c r="AA27" i="4" s="1"/>
  <c r="AO20" i="4"/>
  <c r="Z27" i="4" s="1"/>
  <c r="AR20" i="4"/>
  <c r="AC27" i="4" s="1"/>
  <c r="AQ20" i="4"/>
  <c r="AB27" i="4" s="1"/>
  <c r="AT16" i="4"/>
  <c r="AE23" i="4" s="1"/>
  <c r="AP16" i="4"/>
  <c r="AA23" i="4" s="1"/>
  <c r="AO16" i="4"/>
  <c r="Z23" i="4" s="1"/>
  <c r="AQ16" i="4"/>
  <c r="AB23" i="4" s="1"/>
  <c r="AS16" i="4"/>
  <c r="AD23" i="4" s="1"/>
  <c r="AR16" i="4"/>
  <c r="AC23" i="4" s="1"/>
  <c r="AS18" i="4"/>
  <c r="AD25" i="4" s="1"/>
  <c r="AR18" i="4"/>
  <c r="AC25" i="4" s="1"/>
  <c r="AT18" i="4"/>
  <c r="AE25" i="4" s="1"/>
  <c r="AP18" i="4"/>
  <c r="AA25" i="4" s="1"/>
  <c r="AO18" i="4"/>
  <c r="Z25" i="4" s="1"/>
  <c r="AQ18" i="4"/>
  <c r="AB25" i="4" s="1"/>
  <c r="AQ19" i="4"/>
  <c r="AB26" i="4" s="1"/>
  <c r="AT19" i="4"/>
  <c r="AE26" i="4" s="1"/>
  <c r="AP19" i="4"/>
  <c r="AA26" i="4" s="1"/>
  <c r="AS19" i="4"/>
  <c r="AD26" i="4" s="1"/>
  <c r="AO19" i="4"/>
  <c r="Z26" i="4" s="1"/>
  <c r="AR19" i="4"/>
  <c r="AC26" i="4" s="1"/>
  <c r="M27" i="9" l="1" a="1"/>
  <c r="P30" i="9" s="1"/>
  <c r="Z38" i="4" a="1"/>
  <c r="AB43" i="4" s="1"/>
  <c r="Z30" i="4" a="1"/>
  <c r="M27" i="9" l="1"/>
  <c r="M29" i="9"/>
  <c r="P32" i="9"/>
  <c r="N27" i="9"/>
  <c r="M28" i="9"/>
  <c r="N29" i="9"/>
  <c r="O28" i="9"/>
  <c r="O27" i="9"/>
  <c r="P27" i="9"/>
  <c r="O29" i="9"/>
  <c r="M32" i="9"/>
  <c r="M31" i="9"/>
  <c r="N28" i="9"/>
  <c r="P29" i="9"/>
  <c r="N32" i="9"/>
  <c r="O31" i="9"/>
  <c r="P28" i="9"/>
  <c r="M30" i="9"/>
  <c r="O32" i="9"/>
  <c r="P31" i="9"/>
  <c r="O30" i="9"/>
  <c r="N30" i="9"/>
  <c r="N31" i="9"/>
  <c r="AB38" i="4"/>
  <c r="AA41" i="4"/>
  <c r="Z38" i="4"/>
  <c r="AC40" i="4"/>
  <c r="AB41" i="4"/>
  <c r="Z41" i="4"/>
  <c r="AC43" i="4"/>
  <c r="AC41" i="4"/>
  <c r="AB42" i="4"/>
  <c r="Z42" i="4"/>
  <c r="AA39" i="4"/>
  <c r="AA38" i="4"/>
  <c r="AC38" i="4"/>
  <c r="Z40" i="4"/>
  <c r="AB39" i="4"/>
  <c r="Z43" i="4"/>
  <c r="AC42" i="4"/>
  <c r="AB40" i="4"/>
  <c r="AC39" i="4"/>
  <c r="AA43" i="4"/>
  <c r="Z39" i="4"/>
  <c r="AA42" i="4"/>
  <c r="AA40" i="4"/>
  <c r="Z33" i="4"/>
  <c r="AC31" i="4"/>
  <c r="AC32" i="4"/>
  <c r="AB31" i="4"/>
  <c r="Z35" i="4"/>
  <c r="Z34" i="4"/>
  <c r="AC33" i="4"/>
  <c r="AB33" i="4"/>
  <c r="Z32" i="4"/>
  <c r="AB32" i="4"/>
  <c r="AA31" i="4"/>
  <c r="AA32" i="4"/>
  <c r="AC35" i="4"/>
  <c r="AB35" i="4"/>
  <c r="AA30" i="4"/>
  <c r="Z30" i="4"/>
  <c r="AB30" i="4"/>
  <c r="AA35" i="4"/>
  <c r="AC34" i="4"/>
  <c r="AB34" i="4"/>
  <c r="Z31" i="4"/>
  <c r="AA34" i="4"/>
  <c r="AA33" i="4"/>
  <c r="AC30" i="4"/>
  <c r="AF48" i="4" l="1" a="1"/>
  <c r="AF49" i="4" s="1"/>
  <c r="AK49" i="4" s="1"/>
  <c r="C14" i="9" s="1"/>
  <c r="AF56" i="4" a="1"/>
  <c r="AF50" i="4" l="1"/>
  <c r="AK50" i="4" s="1"/>
  <c r="C15" i="9" s="1"/>
  <c r="AF48" i="4"/>
  <c r="AK48" i="4" s="1"/>
  <c r="C13" i="9" s="1"/>
  <c r="AI49" i="4"/>
  <c r="AN49" i="4" s="1"/>
  <c r="F14" i="9" s="1"/>
  <c r="AG49" i="4"/>
  <c r="AL49" i="4" s="1"/>
  <c r="D14" i="9" s="1"/>
  <c r="AF53" i="4"/>
  <c r="AK53" i="4" s="1"/>
  <c r="C18" i="9" s="1"/>
  <c r="AI50" i="4"/>
  <c r="AN50" i="4" s="1"/>
  <c r="F15" i="9" s="1"/>
  <c r="AG51" i="4"/>
  <c r="AL51" i="4" s="1"/>
  <c r="D16" i="9" s="1"/>
  <c r="AG53" i="4"/>
  <c r="AL53" i="4" s="1"/>
  <c r="D18" i="9" s="1"/>
  <c r="AH51" i="4"/>
  <c r="AM51" i="4" s="1"/>
  <c r="E16" i="9" s="1"/>
  <c r="AF51" i="4"/>
  <c r="AK51" i="4" s="1"/>
  <c r="C16" i="9" s="1"/>
  <c r="AF52" i="4"/>
  <c r="AK52" i="4" s="1"/>
  <c r="C17" i="9" s="1"/>
  <c r="AG48" i="4"/>
  <c r="AL48" i="4" s="1"/>
  <c r="D13" i="9" s="1"/>
  <c r="AI51" i="4"/>
  <c r="AN51" i="4" s="1"/>
  <c r="F16" i="9" s="1"/>
  <c r="AG50" i="4"/>
  <c r="AL50" i="4" s="1"/>
  <c r="D15" i="9" s="1"/>
  <c r="AG52" i="4"/>
  <c r="AL52" i="4" s="1"/>
  <c r="D17" i="9" s="1"/>
  <c r="AH48" i="4"/>
  <c r="AM48" i="4" s="1"/>
  <c r="E13" i="9" s="1"/>
  <c r="AH49" i="4"/>
  <c r="AM49" i="4" s="1"/>
  <c r="E14" i="9" s="1"/>
  <c r="AI53" i="4"/>
  <c r="AN53" i="4" s="1"/>
  <c r="F18" i="9" s="1"/>
  <c r="AH52" i="4"/>
  <c r="AM52" i="4" s="1"/>
  <c r="E17" i="9" s="1"/>
  <c r="AI48" i="4"/>
  <c r="AN48" i="4" s="1"/>
  <c r="F13" i="9" s="1"/>
  <c r="AH53" i="4"/>
  <c r="AM53" i="4" s="1"/>
  <c r="E18" i="9" s="1"/>
  <c r="AH50" i="4"/>
  <c r="AM50" i="4" s="1"/>
  <c r="E15" i="9" s="1"/>
  <c r="AI52" i="4"/>
  <c r="AN52" i="4" s="1"/>
  <c r="F17" i="9" s="1"/>
  <c r="AI61" i="4"/>
  <c r="AN61" i="4" s="1"/>
  <c r="F25" i="9" s="1"/>
  <c r="AI60" i="4"/>
  <c r="AN60" i="4" s="1"/>
  <c r="F24" i="9" s="1"/>
  <c r="AI57" i="4"/>
  <c r="AN57" i="4" s="1"/>
  <c r="F21" i="9" s="1"/>
  <c r="AH60" i="4"/>
  <c r="AM60" i="4" s="1"/>
  <c r="E24" i="9" s="1"/>
  <c r="AI58" i="4"/>
  <c r="AN58" i="4" s="1"/>
  <c r="F22" i="9" s="1"/>
  <c r="AI59" i="4"/>
  <c r="AN59" i="4" s="1"/>
  <c r="F23" i="9" s="1"/>
  <c r="AH59" i="4"/>
  <c r="AM59" i="4" s="1"/>
  <c r="E23" i="9" s="1"/>
  <c r="AG59" i="4"/>
  <c r="AL59" i="4" s="1"/>
  <c r="D23" i="9" s="1"/>
  <c r="AF59" i="4"/>
  <c r="AK59" i="4" s="1"/>
  <c r="C23" i="9" s="1"/>
  <c r="AG60" i="4"/>
  <c r="AL60" i="4" s="1"/>
  <c r="D24" i="9" s="1"/>
  <c r="AH57" i="4"/>
  <c r="AM57" i="4" s="1"/>
  <c r="E21" i="9" s="1"/>
  <c r="AI56" i="4"/>
  <c r="AN56" i="4" s="1"/>
  <c r="F20" i="9" s="1"/>
  <c r="AG57" i="4"/>
  <c r="AL57" i="4" s="1"/>
  <c r="D21" i="9" s="1"/>
  <c r="AF60" i="4"/>
  <c r="AK60" i="4" s="1"/>
  <c r="C24" i="9" s="1"/>
  <c r="AF57" i="4"/>
  <c r="AK57" i="4" s="1"/>
  <c r="C21" i="9" s="1"/>
  <c r="AH56" i="4"/>
  <c r="AM56" i="4" s="1"/>
  <c r="E20" i="9" s="1"/>
  <c r="AG56" i="4"/>
  <c r="AL56" i="4" s="1"/>
  <c r="D20" i="9" s="1"/>
  <c r="AF56" i="4"/>
  <c r="AK56" i="4" s="1"/>
  <c r="C20" i="9" s="1"/>
  <c r="AH58" i="4"/>
  <c r="AM58" i="4" s="1"/>
  <c r="E22" i="9" s="1"/>
  <c r="AH61" i="4"/>
  <c r="AM61" i="4" s="1"/>
  <c r="E25" i="9" s="1"/>
  <c r="AG58" i="4"/>
  <c r="AL58" i="4" s="1"/>
  <c r="D22" i="9" s="1"/>
  <c r="AG61" i="4"/>
  <c r="AL61" i="4" s="1"/>
  <c r="D25" i="9" s="1"/>
  <c r="AF58" i="4"/>
  <c r="AK58" i="4" s="1"/>
  <c r="C22" i="9" s="1"/>
  <c r="AF61" i="4"/>
  <c r="AK61" i="4" s="1"/>
  <c r="C25" i="9" s="1"/>
  <c r="M9" i="9" l="1" a="1"/>
  <c r="M11" i="9" s="1"/>
  <c r="M18" i="9" a="1"/>
  <c r="O9" i="9" l="1"/>
  <c r="O12" i="9"/>
  <c r="P9" i="9"/>
  <c r="M9" i="9"/>
  <c r="P14" i="9"/>
  <c r="O13" i="9"/>
  <c r="N9" i="9"/>
  <c r="P12" i="9"/>
  <c r="M10" i="9"/>
  <c r="P13" i="9"/>
  <c r="N13" i="9"/>
  <c r="P10" i="9"/>
  <c r="O11" i="9"/>
  <c r="M14" i="9"/>
  <c r="P11" i="9"/>
  <c r="N14" i="9"/>
  <c r="M13" i="9"/>
  <c r="N11" i="9"/>
  <c r="M12" i="9"/>
  <c r="N10" i="9"/>
  <c r="O14" i="9"/>
  <c r="O10" i="9"/>
  <c r="N12" i="9"/>
  <c r="P21" i="9"/>
  <c r="O23" i="9"/>
  <c r="O21" i="9"/>
  <c r="N23" i="9"/>
  <c r="M23" i="9"/>
  <c r="P23" i="9"/>
  <c r="P22" i="9"/>
  <c r="P19" i="9"/>
  <c r="O22" i="9"/>
  <c r="O20" i="9"/>
  <c r="P20" i="9"/>
  <c r="N20" i="9"/>
  <c r="N21" i="9"/>
  <c r="M20" i="9"/>
  <c r="M21" i="9"/>
  <c r="O19" i="9"/>
  <c r="M19" i="9"/>
  <c r="P18" i="9"/>
  <c r="O18" i="9"/>
  <c r="N22" i="9"/>
  <c r="N18" i="9"/>
  <c r="M22" i="9"/>
  <c r="M18" i="9"/>
  <c r="N19" i="9"/>
  <c r="R6" i="9" l="1" a="1"/>
  <c r="U7" i="9" s="1"/>
  <c r="U15" i="9" s="1"/>
  <c r="U22" i="9" s="1"/>
  <c r="T9" i="9" l="1"/>
  <c r="T17" i="9" s="1"/>
  <c r="T24" i="9" s="1"/>
  <c r="V11" i="9"/>
  <c r="V19" i="9" s="1"/>
  <c r="V26" i="9" s="1"/>
  <c r="W9" i="9"/>
  <c r="W17" i="9" s="1"/>
  <c r="W24" i="9" s="1"/>
  <c r="R8" i="9"/>
  <c r="R16" i="9" s="1"/>
  <c r="R23" i="9" s="1"/>
  <c r="W10" i="9"/>
  <c r="W18" i="9" s="1"/>
  <c r="W25" i="9" s="1"/>
  <c r="S10" i="9"/>
  <c r="S18" i="9" s="1"/>
  <c r="S25" i="9" s="1"/>
  <c r="R6" i="9"/>
  <c r="R14" i="9" s="1"/>
  <c r="R21" i="9" s="1"/>
  <c r="W11" i="9"/>
  <c r="W19" i="9" s="1"/>
  <c r="W26" i="9" s="1"/>
  <c r="R9" i="9"/>
  <c r="R17" i="9" s="1"/>
  <c r="R24" i="9" s="1"/>
  <c r="S11" i="9"/>
  <c r="S19" i="9" s="1"/>
  <c r="S26" i="9" s="1"/>
  <c r="R7" i="9"/>
  <c r="R15" i="9" s="1"/>
  <c r="R22" i="9" s="1"/>
  <c r="S7" i="9"/>
  <c r="S15" i="9" s="1"/>
  <c r="S22" i="9" s="1"/>
  <c r="U10" i="9"/>
  <c r="U18" i="9" s="1"/>
  <c r="U25" i="9" s="1"/>
  <c r="V6" i="9"/>
  <c r="V14" i="9" s="1"/>
  <c r="V21" i="9" s="1"/>
  <c r="V7" i="9"/>
  <c r="V15" i="9" s="1"/>
  <c r="V22" i="9" s="1"/>
  <c r="U6" i="9"/>
  <c r="U14" i="9" s="1"/>
  <c r="U21" i="9" s="1"/>
  <c r="T7" i="9"/>
  <c r="T15" i="9" s="1"/>
  <c r="T22" i="9" s="1"/>
  <c r="T8" i="9"/>
  <c r="T16" i="9" s="1"/>
  <c r="T23" i="9" s="1"/>
  <c r="S9" i="9"/>
  <c r="S17" i="9" s="1"/>
  <c r="S24" i="9" s="1"/>
  <c r="R10" i="9"/>
  <c r="R18" i="9" s="1"/>
  <c r="R25" i="9" s="1"/>
  <c r="W6" i="9"/>
  <c r="W14" i="9" s="1"/>
  <c r="W21" i="9" s="1"/>
  <c r="W7" i="9"/>
  <c r="W15" i="9" s="1"/>
  <c r="W22" i="9" s="1"/>
  <c r="S6" i="9"/>
  <c r="S14" i="9" s="1"/>
  <c r="S21" i="9" s="1"/>
  <c r="V10" i="9"/>
  <c r="V18" i="9" s="1"/>
  <c r="V25" i="9" s="1"/>
  <c r="V8" i="9"/>
  <c r="V16" i="9" s="1"/>
  <c r="V23" i="9" s="1"/>
  <c r="R11" i="9"/>
  <c r="R19" i="9" s="1"/>
  <c r="R26" i="9" s="1"/>
  <c r="W8" i="9"/>
  <c r="W16" i="9" s="1"/>
  <c r="W23" i="9" s="1"/>
  <c r="T6" i="9"/>
  <c r="T14" i="9" s="1"/>
  <c r="T21" i="9" s="1"/>
  <c r="U8" i="9"/>
  <c r="U16" i="9" s="1"/>
  <c r="U23" i="9" s="1"/>
  <c r="S8" i="9"/>
  <c r="S16" i="9" s="1"/>
  <c r="S23" i="9" s="1"/>
  <c r="U9" i="9"/>
  <c r="U17" i="9" s="1"/>
  <c r="U24" i="9" s="1"/>
  <c r="U11" i="9"/>
  <c r="U19" i="9" s="1"/>
  <c r="U26" i="9" s="1"/>
  <c r="T11" i="9"/>
  <c r="T19" i="9" s="1"/>
  <c r="T26" i="9" s="1"/>
  <c r="V9" i="9"/>
  <c r="V17" i="9" s="1"/>
  <c r="V24" i="9" s="1"/>
  <c r="T10" i="9"/>
  <c r="T18" i="9" s="1"/>
  <c r="T25" i="9" s="1"/>
  <c r="U33" i="9" l="1"/>
  <c r="U29" i="9"/>
  <c r="W31" i="9"/>
  <c r="R34" i="9"/>
  <c r="S30" i="9"/>
  <c r="T30" i="9"/>
  <c r="R32" i="9"/>
  <c r="V29" i="9"/>
  <c r="T29" i="9"/>
  <c r="V34" i="9"/>
  <c r="T32" i="9"/>
  <c r="V32" i="9"/>
  <c r="V31" i="9"/>
  <c r="U30" i="9"/>
  <c r="V33" i="9"/>
  <c r="S34" i="9"/>
  <c r="S29" i="9"/>
  <c r="U32" i="9"/>
  <c r="W30" i="9"/>
  <c r="W34" i="9"/>
  <c r="W29" i="9"/>
  <c r="R33" i="9"/>
  <c r="S33" i="9"/>
  <c r="S32" i="9"/>
  <c r="W33" i="9"/>
  <c r="T31" i="9"/>
  <c r="R31" i="9"/>
  <c r="W32" i="9"/>
  <c r="T34" i="9"/>
  <c r="U34" i="9"/>
  <c r="U31" i="9"/>
  <c r="R29" i="9"/>
  <c r="V30" i="9"/>
  <c r="S31" i="9"/>
  <c r="R30" i="9"/>
  <c r="T33" i="9"/>
  <c r="Z6" i="9" l="1" a="1"/>
  <c r="AC11" i="9" s="1"/>
  <c r="AA7" i="9" l="1"/>
  <c r="AC8" i="9"/>
  <c r="Z10" i="9"/>
  <c r="AA9" i="9"/>
  <c r="AA10" i="9"/>
  <c r="AB9" i="9"/>
  <c r="AA11" i="9"/>
  <c r="AB10" i="9"/>
  <c r="AB7" i="9"/>
  <c r="Z6" i="9"/>
  <c r="AB11" i="9"/>
  <c r="AC10" i="9"/>
  <c r="Z8" i="9"/>
  <c r="AC9" i="9"/>
  <c r="AA6" i="9"/>
  <c r="Z11" i="9"/>
  <c r="AA8" i="9"/>
  <c r="Z9" i="9"/>
  <c r="AB6" i="9"/>
  <c r="Z7" i="9"/>
  <c r="AB8" i="9"/>
  <c r="AC7" i="9"/>
  <c r="AC6" i="9"/>
  <c r="AE11" i="9" l="1"/>
  <c r="AG11" i="9" s="1"/>
  <c r="Z20" i="9" s="1"/>
  <c r="AA20" i="9" s="1"/>
  <c r="AB20" i="9" s="1"/>
  <c r="AC20" i="9" s="1"/>
  <c r="AE6" i="9"/>
  <c r="AG6" i="9" s="1"/>
  <c r="Z15" i="9" s="1"/>
  <c r="AE7" i="9"/>
  <c r="AI7" i="9" s="1"/>
  <c r="AE8" i="9"/>
  <c r="AI8" i="9" s="1"/>
  <c r="AE10" i="9"/>
  <c r="AI10" i="9" s="1"/>
  <c r="AE9" i="9"/>
  <c r="AI9" i="9" s="1"/>
  <c r="AI6" i="9" l="1"/>
  <c r="AI11" i="9"/>
  <c r="AG7" i="9"/>
  <c r="Z16" i="9" s="1"/>
  <c r="AA16" i="9" s="1"/>
  <c r="AB16" i="9" s="1"/>
  <c r="AC16" i="9" s="1"/>
  <c r="AG8" i="9"/>
  <c r="Z17" i="9" s="1"/>
  <c r="AA17" i="9" s="1"/>
  <c r="AB17" i="9" s="1"/>
  <c r="AC17" i="9" s="1"/>
  <c r="AG9" i="9"/>
  <c r="Z18" i="9" s="1"/>
  <c r="AA18" i="9" s="1"/>
  <c r="AB18" i="9" s="1"/>
  <c r="AC18" i="9" s="1"/>
  <c r="AG10" i="9"/>
  <c r="Z19" i="9" s="1"/>
  <c r="AA19" i="9" s="1"/>
  <c r="AB19" i="9" s="1"/>
  <c r="AC19" i="9" s="1"/>
  <c r="AA15" i="9"/>
  <c r="AB15" i="9" s="1"/>
  <c r="AC15" i="9" s="1"/>
  <c r="AI12" i="9" l="1"/>
  <c r="AM7" i="9" a="1"/>
  <c r="AM12" i="9" s="1"/>
  <c r="AG30" i="9" a="1"/>
  <c r="AH34" i="9" s="1"/>
  <c r="AM11" i="9" l="1"/>
  <c r="AF19" i="9" s="1"/>
  <c r="AP11" i="9"/>
  <c r="AI19" i="9" s="1"/>
  <c r="AN12" i="9"/>
  <c r="AG20" i="9" s="1"/>
  <c r="AQ9" i="9"/>
  <c r="AO8" i="9"/>
  <c r="AH16" i="9" s="1"/>
  <c r="AM9" i="9"/>
  <c r="AF17" i="9" s="1"/>
  <c r="AP8" i="9"/>
  <c r="AI16" i="9" s="1"/>
  <c r="AP12" i="9"/>
  <c r="AI20" i="9" s="1"/>
  <c r="AN9" i="9"/>
  <c r="AG17" i="9" s="1"/>
  <c r="AR12" i="9"/>
  <c r="AK20" i="9" s="1"/>
  <c r="AQ8" i="9"/>
  <c r="AJ16" i="9" s="1"/>
  <c r="AO12" i="9"/>
  <c r="AH20" i="9" s="1"/>
  <c r="AQ11" i="9"/>
  <c r="AJ19" i="9" s="1"/>
  <c r="AR10" i="9"/>
  <c r="AK18" i="9" s="1"/>
  <c r="AM8" i="9"/>
  <c r="AF16" i="9" s="1"/>
  <c r="AP9" i="9"/>
  <c r="AI17" i="9" s="1"/>
  <c r="AQ12" i="9"/>
  <c r="AJ20" i="9" s="1"/>
  <c r="AP10" i="9"/>
  <c r="AI18" i="9" s="1"/>
  <c r="AO7" i="9"/>
  <c r="AH15" i="9" s="1"/>
  <c r="AR11" i="9"/>
  <c r="AK19" i="9" s="1"/>
  <c r="AN7" i="9"/>
  <c r="AG15" i="9" s="1"/>
  <c r="AM10" i="9"/>
  <c r="AF18" i="9" s="1"/>
  <c r="AP7" i="9"/>
  <c r="AI15" i="9" s="1"/>
  <c r="AR7" i="9"/>
  <c r="AK15" i="9" s="1"/>
  <c r="AO11" i="9"/>
  <c r="AH19" i="9" s="1"/>
  <c r="AM7" i="9"/>
  <c r="AF15" i="9" s="1"/>
  <c r="AN11" i="9"/>
  <c r="AG19" i="9" s="1"/>
  <c r="AN8" i="9"/>
  <c r="AG16" i="9" s="1"/>
  <c r="AR8" i="9"/>
  <c r="AK16" i="9" s="1"/>
  <c r="AO10" i="9"/>
  <c r="AH18" i="9" s="1"/>
  <c r="AN10" i="9"/>
  <c r="AG18" i="9" s="1"/>
  <c r="AR9" i="9"/>
  <c r="AK17" i="9" s="1"/>
  <c r="AI33" i="9"/>
  <c r="AQ7" i="9"/>
  <c r="AJ15" i="9" s="1"/>
  <c r="AO9" i="9"/>
  <c r="AH17" i="9" s="1"/>
  <c r="AJ33" i="9"/>
  <c r="AQ10" i="9"/>
  <c r="AJ18" i="9" s="1"/>
  <c r="AI34" i="9"/>
  <c r="AJ31" i="9"/>
  <c r="AJ34" i="9"/>
  <c r="AJ35" i="9"/>
  <c r="AJ32" i="9"/>
  <c r="AH30" i="9"/>
  <c r="AG33" i="9"/>
  <c r="AG31" i="9"/>
  <c r="AH33" i="9"/>
  <c r="AI31" i="9"/>
  <c r="AI30" i="9"/>
  <c r="AG30" i="9"/>
  <c r="AG35" i="9"/>
  <c r="AG34" i="9"/>
  <c r="AG32" i="9"/>
  <c r="AH31" i="9"/>
  <c r="AH35" i="9"/>
  <c r="AJ30" i="9"/>
  <c r="AI35" i="9"/>
  <c r="AH32" i="9"/>
  <c r="AI32" i="9"/>
  <c r="AF20" i="9"/>
  <c r="AJ17" i="9"/>
  <c r="AF38" i="9" l="1" a="1"/>
  <c r="AH43" i="9" s="1"/>
  <c r="AM43" i="9" s="1"/>
  <c r="E32" i="10" s="1"/>
  <c r="AM15" i="9"/>
  <c r="AM19" i="9"/>
  <c r="AM18" i="9"/>
  <c r="AM16" i="9"/>
  <c r="AM20" i="9"/>
  <c r="AM17" i="9"/>
  <c r="AF42" i="9" l="1"/>
  <c r="AK42" i="9" s="1"/>
  <c r="C31" i="10" s="1"/>
  <c r="AI40" i="9"/>
  <c r="AN40" i="9" s="1"/>
  <c r="F29" i="10" s="1"/>
  <c r="AH39" i="9"/>
  <c r="AM39" i="9" s="1"/>
  <c r="E28" i="10" s="1"/>
  <c r="AI42" i="9"/>
  <c r="AN42" i="9" s="1"/>
  <c r="F31" i="10" s="1"/>
  <c r="AF41" i="9"/>
  <c r="AK41" i="9" s="1"/>
  <c r="C30" i="10" s="1"/>
  <c r="AF40" i="9"/>
  <c r="AK40" i="9" s="1"/>
  <c r="C29" i="10" s="1"/>
  <c r="AG38" i="9"/>
  <c r="AL38" i="9" s="1"/>
  <c r="D27" i="10" s="1"/>
  <c r="AG41" i="9"/>
  <c r="AL41" i="9" s="1"/>
  <c r="D30" i="10" s="1"/>
  <c r="AI43" i="9"/>
  <c r="AN43" i="9" s="1"/>
  <c r="F32" i="10" s="1"/>
  <c r="AI41" i="9"/>
  <c r="AN41" i="9" s="1"/>
  <c r="F30" i="10" s="1"/>
  <c r="AH38" i="9"/>
  <c r="AM38" i="9" s="1"/>
  <c r="E27" i="10" s="1"/>
  <c r="AF39" i="9"/>
  <c r="AK39" i="9" s="1"/>
  <c r="C28" i="10" s="1"/>
  <c r="AI39" i="9"/>
  <c r="AN39" i="9" s="1"/>
  <c r="F28" i="10" s="1"/>
  <c r="AG42" i="9"/>
  <c r="AL42" i="9" s="1"/>
  <c r="D31" i="10" s="1"/>
  <c r="AG43" i="9"/>
  <c r="AL43" i="9" s="1"/>
  <c r="D32" i="10" s="1"/>
  <c r="AH42" i="9"/>
  <c r="AM42" i="9" s="1"/>
  <c r="E31" i="10" s="1"/>
  <c r="AG40" i="9"/>
  <c r="AL40" i="9" s="1"/>
  <c r="D29" i="10" s="1"/>
  <c r="AF43" i="9"/>
  <c r="AK43" i="9" s="1"/>
  <c r="C32" i="10" s="1"/>
  <c r="AI38" i="9"/>
  <c r="AN38" i="9" s="1"/>
  <c r="F27" i="10" s="1"/>
  <c r="AF38" i="9"/>
  <c r="AK38" i="9" s="1"/>
  <c r="C27" i="10" s="1"/>
  <c r="AH41" i="9"/>
  <c r="AM41" i="9" s="1"/>
  <c r="E30" i="10" s="1"/>
  <c r="AG39" i="9"/>
  <c r="AL39" i="9" s="1"/>
  <c r="D28" i="10" s="1"/>
  <c r="AH40" i="9"/>
  <c r="AM40" i="9" s="1"/>
  <c r="E29" i="10" s="1"/>
  <c r="AS18" i="9"/>
  <c r="AD25" i="9" s="1"/>
  <c r="AT18" i="9"/>
  <c r="AE25" i="9" s="1"/>
  <c r="AO18" i="9"/>
  <c r="Z25" i="9" s="1"/>
  <c r="AQ18" i="9"/>
  <c r="AB25" i="9" s="1"/>
  <c r="AP18" i="9"/>
  <c r="AA25" i="9" s="1"/>
  <c r="AR18" i="9"/>
  <c r="AC25" i="9" s="1"/>
  <c r="AS19" i="9"/>
  <c r="AD26" i="9" s="1"/>
  <c r="AT19" i="9"/>
  <c r="AE26" i="9" s="1"/>
  <c r="AP19" i="9"/>
  <c r="AA26" i="9" s="1"/>
  <c r="AO19" i="9"/>
  <c r="Z26" i="9" s="1"/>
  <c r="AR19" i="9"/>
  <c r="AC26" i="9" s="1"/>
  <c r="AQ19" i="9"/>
  <c r="AB26" i="9" s="1"/>
  <c r="AP16" i="9"/>
  <c r="AA23" i="9" s="1"/>
  <c r="AR16" i="9"/>
  <c r="AC23" i="9" s="1"/>
  <c r="AO16" i="9"/>
  <c r="Z23" i="9" s="1"/>
  <c r="AT16" i="9"/>
  <c r="AE23" i="9" s="1"/>
  <c r="AS16" i="9"/>
  <c r="AD23" i="9" s="1"/>
  <c r="AQ16" i="9"/>
  <c r="AB23" i="9" s="1"/>
  <c r="AQ17" i="9"/>
  <c r="AB24" i="9" s="1"/>
  <c r="AO17" i="9"/>
  <c r="Z24" i="9" s="1"/>
  <c r="AR17" i="9"/>
  <c r="AC24" i="9" s="1"/>
  <c r="AP17" i="9"/>
  <c r="AA24" i="9" s="1"/>
  <c r="AT17" i="9"/>
  <c r="AE24" i="9" s="1"/>
  <c r="AS17" i="9"/>
  <c r="AD24" i="9" s="1"/>
  <c r="AO20" i="9"/>
  <c r="Z27" i="9" s="1"/>
  <c r="AR20" i="9"/>
  <c r="AC27" i="9" s="1"/>
  <c r="AP20" i="9"/>
  <c r="AA27" i="9" s="1"/>
  <c r="AS20" i="9"/>
  <c r="AD27" i="9" s="1"/>
  <c r="AT20" i="9"/>
  <c r="AE27" i="9" s="1"/>
  <c r="AQ20" i="9"/>
  <c r="AB27" i="9" s="1"/>
  <c r="AP15" i="9"/>
  <c r="AA22" i="9" s="1"/>
  <c r="AR15" i="9"/>
  <c r="AC22" i="9" s="1"/>
  <c r="AT15" i="9"/>
  <c r="AE22" i="9" s="1"/>
  <c r="AQ15" i="9"/>
  <c r="AB22" i="9" s="1"/>
  <c r="AO15" i="9"/>
  <c r="Z22" i="9" s="1"/>
  <c r="AS15" i="9"/>
  <c r="AD22" i="9" s="1"/>
  <c r="M27" i="10" l="1" a="1"/>
  <c r="M32" i="10" s="1"/>
  <c r="Z30" i="9" a="1"/>
  <c r="Z38" i="9" a="1"/>
  <c r="N32" i="10" l="1"/>
  <c r="P30" i="10"/>
  <c r="O28" i="10"/>
  <c r="M29" i="10"/>
  <c r="P28" i="10"/>
  <c r="O32" i="10"/>
  <c r="N27" i="10"/>
  <c r="M31" i="10"/>
  <c r="M30" i="10"/>
  <c r="N29" i="10"/>
  <c r="N30" i="10"/>
  <c r="N31" i="10"/>
  <c r="P27" i="10"/>
  <c r="P32" i="10"/>
  <c r="M28" i="10"/>
  <c r="O31" i="10"/>
  <c r="M27" i="10"/>
  <c r="O29" i="10"/>
  <c r="O27" i="10"/>
  <c r="P31" i="10"/>
  <c r="O30" i="10"/>
  <c r="P29" i="10"/>
  <c r="N28" i="10"/>
  <c r="AA39" i="9"/>
  <c r="AB41" i="9"/>
  <c r="Z39" i="9"/>
  <c r="AC40" i="9"/>
  <c r="AC42" i="9"/>
  <c r="AC38" i="9"/>
  <c r="Z40" i="9"/>
  <c r="Z38" i="9"/>
  <c r="Z42" i="9"/>
  <c r="AC43" i="9"/>
  <c r="AB38" i="9"/>
  <c r="AC39" i="9"/>
  <c r="AC41" i="9"/>
  <c r="AB42" i="9"/>
  <c r="AA38" i="9"/>
  <c r="AA42" i="9"/>
  <c r="AB43" i="9"/>
  <c r="Z41" i="9"/>
  <c r="AB39" i="9"/>
  <c r="AB40" i="9"/>
  <c r="AA43" i="9"/>
  <c r="AA40" i="9"/>
  <c r="Z43" i="9"/>
  <c r="AA41" i="9"/>
  <c r="AB34" i="9"/>
  <c r="Z34" i="9"/>
  <c r="AB33" i="9"/>
  <c r="AC33" i="9"/>
  <c r="Z30" i="9"/>
  <c r="AC35" i="9"/>
  <c r="AA33" i="9"/>
  <c r="Z33" i="9"/>
  <c r="AB35" i="9"/>
  <c r="AB32" i="9"/>
  <c r="AB31" i="9"/>
  <c r="AA32" i="9"/>
  <c r="AA35" i="9"/>
  <c r="Z32" i="9"/>
  <c r="AA31" i="9"/>
  <c r="AC31" i="9"/>
  <c r="Z35" i="9"/>
  <c r="AC32" i="9"/>
  <c r="Z31" i="9"/>
  <c r="AB30" i="9"/>
  <c r="AC34" i="9"/>
  <c r="AA30" i="9"/>
  <c r="AC30" i="9"/>
  <c r="AA34" i="9"/>
  <c r="AF56" i="9" l="1" a="1"/>
  <c r="AF48" i="9" a="1"/>
  <c r="AI50" i="9" l="1"/>
  <c r="AN50" i="9" s="1"/>
  <c r="F15" i="10" s="1"/>
  <c r="AG52" i="9"/>
  <c r="AL52" i="9" s="1"/>
  <c r="D17" i="10" s="1"/>
  <c r="AG51" i="9"/>
  <c r="AL51" i="9" s="1"/>
  <c r="D16" i="10" s="1"/>
  <c r="AI48" i="9"/>
  <c r="AN48" i="9" s="1"/>
  <c r="F13" i="10" s="1"/>
  <c r="AI51" i="9"/>
  <c r="AN51" i="9" s="1"/>
  <c r="F16" i="10" s="1"/>
  <c r="AI52" i="9"/>
  <c r="AN52" i="9" s="1"/>
  <c r="F17" i="10" s="1"/>
  <c r="AH51" i="9"/>
  <c r="AM51" i="9" s="1"/>
  <c r="E16" i="10" s="1"/>
  <c r="AG49" i="9"/>
  <c r="AL49" i="9" s="1"/>
  <c r="D14" i="10" s="1"/>
  <c r="AF52" i="9"/>
  <c r="AK52" i="9" s="1"/>
  <c r="C17" i="10" s="1"/>
  <c r="AF48" i="9"/>
  <c r="AK48" i="9" s="1"/>
  <c r="C13" i="10" s="1"/>
  <c r="AI49" i="9"/>
  <c r="AN49" i="9" s="1"/>
  <c r="F14" i="10" s="1"/>
  <c r="AH48" i="9"/>
  <c r="AM48" i="9" s="1"/>
  <c r="E13" i="10" s="1"/>
  <c r="AI53" i="9"/>
  <c r="AN53" i="9" s="1"/>
  <c r="F18" i="10" s="1"/>
  <c r="AH53" i="9"/>
  <c r="AM53" i="9" s="1"/>
  <c r="E18" i="10" s="1"/>
  <c r="AG48" i="9"/>
  <c r="AL48" i="9" s="1"/>
  <c r="D13" i="10" s="1"/>
  <c r="AF49" i="9"/>
  <c r="AK49" i="9" s="1"/>
  <c r="C14" i="10" s="1"/>
  <c r="AG53" i="9"/>
  <c r="AL53" i="9" s="1"/>
  <c r="D18" i="10" s="1"/>
  <c r="AG50" i="9"/>
  <c r="AL50" i="9" s="1"/>
  <c r="D15" i="10" s="1"/>
  <c r="AH52" i="9"/>
  <c r="AM52" i="9" s="1"/>
  <c r="E17" i="10" s="1"/>
  <c r="AH49" i="9"/>
  <c r="AM49" i="9" s="1"/>
  <c r="E14" i="10" s="1"/>
  <c r="AF51" i="9"/>
  <c r="AK51" i="9" s="1"/>
  <c r="C16" i="10" s="1"/>
  <c r="AH50" i="9"/>
  <c r="AM50" i="9" s="1"/>
  <c r="E15" i="10" s="1"/>
  <c r="AF53" i="9"/>
  <c r="AK53" i="9" s="1"/>
  <c r="C18" i="10" s="1"/>
  <c r="AF50" i="9"/>
  <c r="AK50" i="9" s="1"/>
  <c r="C15" i="10" s="1"/>
  <c r="AG58" i="9"/>
  <c r="AL58" i="9" s="1"/>
  <c r="D22" i="10" s="1"/>
  <c r="AF61" i="9"/>
  <c r="AK61" i="9" s="1"/>
  <c r="C25" i="10" s="1"/>
  <c r="AG60" i="9"/>
  <c r="AL60" i="9" s="1"/>
  <c r="D24" i="10" s="1"/>
  <c r="AF60" i="9"/>
  <c r="AK60" i="9" s="1"/>
  <c r="C24" i="10" s="1"/>
  <c r="AI60" i="9"/>
  <c r="AN60" i="9" s="1"/>
  <c r="F24" i="10" s="1"/>
  <c r="AH59" i="9"/>
  <c r="AM59" i="9" s="1"/>
  <c r="E23" i="10" s="1"/>
  <c r="AG57" i="9"/>
  <c r="AL57" i="9" s="1"/>
  <c r="D21" i="10" s="1"/>
  <c r="AI61" i="9"/>
  <c r="AN61" i="9" s="1"/>
  <c r="F25" i="10" s="1"/>
  <c r="AH60" i="9"/>
  <c r="AM60" i="9" s="1"/>
  <c r="E24" i="10" s="1"/>
  <c r="AH61" i="9"/>
  <c r="AM61" i="9" s="1"/>
  <c r="E25" i="10" s="1"/>
  <c r="AF57" i="9"/>
  <c r="AK57" i="9" s="1"/>
  <c r="C21" i="10" s="1"/>
  <c r="AH57" i="9"/>
  <c r="AM57" i="9" s="1"/>
  <c r="E21" i="10" s="1"/>
  <c r="AG59" i="9"/>
  <c r="AL59" i="9" s="1"/>
  <c r="D23" i="10" s="1"/>
  <c r="AH56" i="9"/>
  <c r="AM56" i="9" s="1"/>
  <c r="E20" i="10" s="1"/>
  <c r="AF59" i="9"/>
  <c r="AK59" i="9" s="1"/>
  <c r="C23" i="10" s="1"/>
  <c r="AF56" i="9"/>
  <c r="AK56" i="9" s="1"/>
  <c r="C20" i="10" s="1"/>
  <c r="AI58" i="9"/>
  <c r="AN58" i="9" s="1"/>
  <c r="F22" i="10" s="1"/>
  <c r="AF58" i="9"/>
  <c r="AK58" i="9" s="1"/>
  <c r="C22" i="10" s="1"/>
  <c r="AH58" i="9"/>
  <c r="AM58" i="9" s="1"/>
  <c r="E22" i="10" s="1"/>
  <c r="AI57" i="9"/>
  <c r="AN57" i="9" s="1"/>
  <c r="F21" i="10" s="1"/>
  <c r="AG61" i="9"/>
  <c r="AL61" i="9" s="1"/>
  <c r="D25" i="10" s="1"/>
  <c r="AI56" i="9"/>
  <c r="AN56" i="9" s="1"/>
  <c r="F20" i="10" s="1"/>
  <c r="AI59" i="9"/>
  <c r="AN59" i="9" s="1"/>
  <c r="F23" i="10" s="1"/>
  <c r="AG56" i="9"/>
  <c r="AL56" i="9" s="1"/>
  <c r="D20" i="10" s="1"/>
  <c r="M18" i="10" l="1" a="1"/>
  <c r="P18" i="10" s="1"/>
  <c r="M9" i="10" a="1"/>
  <c r="M19" i="10" l="1"/>
  <c r="P19" i="10"/>
  <c r="N22" i="10"/>
  <c r="N19" i="10"/>
  <c r="O22" i="10"/>
  <c r="O20" i="10"/>
  <c r="O19" i="10"/>
  <c r="P22" i="10"/>
  <c r="N21" i="10"/>
  <c r="M23" i="10"/>
  <c r="M21" i="10"/>
  <c r="P23" i="10"/>
  <c r="O21" i="10"/>
  <c r="P20" i="10"/>
  <c r="M20" i="10"/>
  <c r="M18" i="10"/>
  <c r="P21" i="10"/>
  <c r="N23" i="10"/>
  <c r="O23" i="10"/>
  <c r="O18" i="10"/>
  <c r="M22" i="10"/>
  <c r="N18" i="10"/>
  <c r="N20" i="10"/>
  <c r="M12" i="10"/>
  <c r="M9" i="10"/>
  <c r="N14" i="10"/>
  <c r="P13" i="10"/>
  <c r="O10" i="10"/>
  <c r="M14" i="10"/>
  <c r="O11" i="10"/>
  <c r="N10" i="10"/>
  <c r="P14" i="10"/>
  <c r="N11" i="10"/>
  <c r="M10" i="10"/>
  <c r="P10" i="10"/>
  <c r="N12" i="10"/>
  <c r="M11" i="10"/>
  <c r="O12" i="10"/>
  <c r="M13" i="10"/>
  <c r="N9" i="10"/>
  <c r="O9" i="10"/>
  <c r="O14" i="10"/>
  <c r="P11" i="10"/>
  <c r="P12" i="10"/>
  <c r="P9" i="10"/>
  <c r="O13" i="10"/>
  <c r="N13" i="10"/>
  <c r="R6" i="10" l="1" a="1"/>
  <c r="S9" i="10" l="1"/>
  <c r="S17" i="10" s="1"/>
  <c r="S24" i="10" s="1"/>
  <c r="U11" i="10"/>
  <c r="U19" i="10" s="1"/>
  <c r="U26" i="10" s="1"/>
  <c r="R9" i="10"/>
  <c r="R17" i="10" s="1"/>
  <c r="R24" i="10" s="1"/>
  <c r="S6" i="10"/>
  <c r="S14" i="10" s="1"/>
  <c r="S21" i="10" s="1"/>
  <c r="V11" i="10"/>
  <c r="V19" i="10" s="1"/>
  <c r="V26" i="10" s="1"/>
  <c r="V8" i="10"/>
  <c r="V16" i="10" s="1"/>
  <c r="V23" i="10" s="1"/>
  <c r="V9" i="10"/>
  <c r="V17" i="10" s="1"/>
  <c r="V24" i="10" s="1"/>
  <c r="U8" i="10"/>
  <c r="U16" i="10" s="1"/>
  <c r="U23" i="10" s="1"/>
  <c r="T8" i="10"/>
  <c r="T16" i="10" s="1"/>
  <c r="T23" i="10" s="1"/>
  <c r="S8" i="10"/>
  <c r="S16" i="10" s="1"/>
  <c r="S23" i="10" s="1"/>
  <c r="T9" i="10"/>
  <c r="T17" i="10" s="1"/>
  <c r="T24" i="10" s="1"/>
  <c r="T7" i="10"/>
  <c r="T15" i="10" s="1"/>
  <c r="T22" i="10" s="1"/>
  <c r="U7" i="10"/>
  <c r="U15" i="10" s="1"/>
  <c r="U22" i="10" s="1"/>
  <c r="S11" i="10"/>
  <c r="S19" i="10" s="1"/>
  <c r="S26" i="10" s="1"/>
  <c r="R7" i="10"/>
  <c r="R15" i="10" s="1"/>
  <c r="R22" i="10" s="1"/>
  <c r="W10" i="10"/>
  <c r="W18" i="10" s="1"/>
  <c r="W25" i="10" s="1"/>
  <c r="V6" i="10"/>
  <c r="V14" i="10" s="1"/>
  <c r="V21" i="10" s="1"/>
  <c r="V10" i="10"/>
  <c r="V18" i="10" s="1"/>
  <c r="V25" i="10" s="1"/>
  <c r="V7" i="10"/>
  <c r="V15" i="10" s="1"/>
  <c r="V22" i="10" s="1"/>
  <c r="W6" i="10"/>
  <c r="W14" i="10" s="1"/>
  <c r="W21" i="10" s="1"/>
  <c r="T10" i="10"/>
  <c r="T18" i="10" s="1"/>
  <c r="T25" i="10" s="1"/>
  <c r="T11" i="10"/>
  <c r="T19" i="10" s="1"/>
  <c r="T26" i="10" s="1"/>
  <c r="U9" i="10"/>
  <c r="U17" i="10" s="1"/>
  <c r="U24" i="10" s="1"/>
  <c r="R6" i="10"/>
  <c r="R14" i="10" s="1"/>
  <c r="R21" i="10" s="1"/>
  <c r="R11" i="10"/>
  <c r="R19" i="10" s="1"/>
  <c r="R26" i="10" s="1"/>
  <c r="S7" i="10"/>
  <c r="S15" i="10" s="1"/>
  <c r="S22" i="10" s="1"/>
  <c r="W9" i="10"/>
  <c r="W17" i="10" s="1"/>
  <c r="W24" i="10" s="1"/>
  <c r="U6" i="10"/>
  <c r="U14" i="10" s="1"/>
  <c r="U21" i="10" s="1"/>
  <c r="W11" i="10"/>
  <c r="W19" i="10" s="1"/>
  <c r="W26" i="10" s="1"/>
  <c r="W7" i="10"/>
  <c r="W15" i="10" s="1"/>
  <c r="W22" i="10" s="1"/>
  <c r="R10" i="10"/>
  <c r="R18" i="10" s="1"/>
  <c r="R25" i="10" s="1"/>
  <c r="U10" i="10"/>
  <c r="U18" i="10" s="1"/>
  <c r="U25" i="10" s="1"/>
  <c r="T6" i="10"/>
  <c r="T14" i="10" s="1"/>
  <c r="T21" i="10" s="1"/>
  <c r="W8" i="10"/>
  <c r="W16" i="10" s="1"/>
  <c r="W23" i="10" s="1"/>
  <c r="S10" i="10"/>
  <c r="S18" i="10" s="1"/>
  <c r="S25" i="10" s="1"/>
  <c r="R8" i="10"/>
  <c r="R16" i="10" s="1"/>
  <c r="R23" i="10" s="1"/>
  <c r="U29" i="10" l="1"/>
  <c r="S31" i="10"/>
  <c r="S34" i="10"/>
  <c r="W32" i="10"/>
  <c r="U30" i="10"/>
  <c r="S30" i="10"/>
  <c r="W33" i="10"/>
  <c r="T30" i="10"/>
  <c r="R34" i="10"/>
  <c r="R29" i="10"/>
  <c r="U32" i="10"/>
  <c r="T31" i="10"/>
  <c r="R31" i="10"/>
  <c r="T34" i="10"/>
  <c r="U31" i="10"/>
  <c r="S33" i="10"/>
  <c r="T33" i="10"/>
  <c r="V32" i="10"/>
  <c r="W31" i="10"/>
  <c r="W29" i="10"/>
  <c r="V31" i="10"/>
  <c r="T29" i="10"/>
  <c r="V30" i="10"/>
  <c r="V34" i="10"/>
  <c r="U33" i="10"/>
  <c r="V33" i="10"/>
  <c r="S29" i="10"/>
  <c r="R33" i="10"/>
  <c r="V29" i="10"/>
  <c r="R32" i="10"/>
  <c r="T32" i="10"/>
  <c r="W30" i="10"/>
  <c r="U34" i="10"/>
  <c r="W34" i="10"/>
  <c r="R30" i="10"/>
  <c r="S32" i="10"/>
  <c r="Z6" i="10" l="1" a="1"/>
  <c r="AB11" i="10" l="1"/>
  <c r="AB7" i="10"/>
  <c r="Z6" i="10"/>
  <c r="AA8" i="10"/>
  <c r="Z10" i="10"/>
  <c r="AA6" i="10"/>
  <c r="AC6" i="10"/>
  <c r="AC8" i="10"/>
  <c r="Z8" i="10"/>
  <c r="AA10" i="10"/>
  <c r="AC11" i="10"/>
  <c r="Z9" i="10"/>
  <c r="AB10" i="10"/>
  <c r="AA9" i="10"/>
  <c r="AC10" i="10"/>
  <c r="AC7" i="10"/>
  <c r="AB9" i="10"/>
  <c r="Z11" i="10"/>
  <c r="AC9" i="10"/>
  <c r="AB6" i="10"/>
  <c r="AA11" i="10"/>
  <c r="Z7" i="10"/>
  <c r="AB8" i="10"/>
  <c r="AA7" i="10"/>
  <c r="AE9" i="10" l="1"/>
  <c r="AE8" i="10"/>
  <c r="AE7" i="10"/>
  <c r="AE10" i="10"/>
  <c r="AE11" i="10"/>
  <c r="AE6" i="10"/>
  <c r="AG8" i="10" l="1"/>
  <c r="Z17" i="10" s="1"/>
  <c r="AA17" i="10" s="1"/>
  <c r="AB17" i="10" s="1"/>
  <c r="AC17" i="10" s="1"/>
  <c r="AI8" i="10"/>
  <c r="AG9" i="10"/>
  <c r="Z18" i="10" s="1"/>
  <c r="AA18" i="10" s="1"/>
  <c r="AB18" i="10" s="1"/>
  <c r="AC18" i="10" s="1"/>
  <c r="AI9" i="10"/>
  <c r="AI6" i="10"/>
  <c r="AG6" i="10"/>
  <c r="Z15" i="10" s="1"/>
  <c r="AG11" i="10"/>
  <c r="Z20" i="10" s="1"/>
  <c r="AA20" i="10" s="1"/>
  <c r="AB20" i="10" s="1"/>
  <c r="AC20" i="10" s="1"/>
  <c r="AI11" i="10"/>
  <c r="AI10" i="10"/>
  <c r="AG10" i="10"/>
  <c r="Z19" i="10" s="1"/>
  <c r="AA19" i="10" s="1"/>
  <c r="AB19" i="10" s="1"/>
  <c r="AC19" i="10" s="1"/>
  <c r="AI7" i="10"/>
  <c r="AG7" i="10"/>
  <c r="Z16" i="10" s="1"/>
  <c r="AA16" i="10" s="1"/>
  <c r="AB16" i="10" s="1"/>
  <c r="AC16" i="10" s="1"/>
  <c r="AA15" i="10" l="1"/>
  <c r="AB15" i="10" s="1"/>
  <c r="AC15" i="10" s="1"/>
  <c r="AI12" i="10"/>
  <c r="AM7" i="10" l="1" a="1"/>
  <c r="AO11" i="10" s="1"/>
  <c r="AG30" i="10" a="1"/>
  <c r="AO7" i="10" l="1"/>
  <c r="AP8" i="10"/>
  <c r="AO9" i="10"/>
  <c r="AH17" i="10" s="1"/>
  <c r="AR10" i="10"/>
  <c r="AK18" i="10" s="1"/>
  <c r="AN12" i="10"/>
  <c r="AG20" i="10" s="1"/>
  <c r="AO10" i="10"/>
  <c r="AH18" i="10" s="1"/>
  <c r="AN7" i="10"/>
  <c r="AG15" i="10" s="1"/>
  <c r="AR9" i="10"/>
  <c r="AK17" i="10" s="1"/>
  <c r="AN11" i="10"/>
  <c r="AP12" i="10"/>
  <c r="AR11" i="10"/>
  <c r="AK19" i="10" s="1"/>
  <c r="AQ11" i="10"/>
  <c r="AJ19" i="10" s="1"/>
  <c r="AM9" i="10"/>
  <c r="AF17" i="10" s="1"/>
  <c r="AQ7" i="10"/>
  <c r="AJ15" i="10" s="1"/>
  <c r="AM10" i="10"/>
  <c r="AF18" i="10" s="1"/>
  <c r="AR12" i="10"/>
  <c r="AK20" i="10" s="1"/>
  <c r="AQ8" i="10"/>
  <c r="AP10" i="10"/>
  <c r="AM12" i="10"/>
  <c r="AP7" i="10"/>
  <c r="AI15" i="10" s="1"/>
  <c r="AM11" i="10"/>
  <c r="AF19" i="10" s="1"/>
  <c r="AO12" i="10"/>
  <c r="AH20" i="10" s="1"/>
  <c r="AQ10" i="10"/>
  <c r="AJ18" i="10" s="1"/>
  <c r="AM8" i="10"/>
  <c r="AF16" i="10" s="1"/>
  <c r="AN9" i="10"/>
  <c r="AO8" i="10"/>
  <c r="AH16" i="10" s="1"/>
  <c r="AN8" i="10"/>
  <c r="AG16" i="10" s="1"/>
  <c r="AP9" i="10"/>
  <c r="AI17" i="10" s="1"/>
  <c r="AM7" i="10"/>
  <c r="AF15" i="10" s="1"/>
  <c r="AR8" i="10"/>
  <c r="AK16" i="10" s="1"/>
  <c r="AQ12" i="10"/>
  <c r="AJ20" i="10" s="1"/>
  <c r="AN10" i="10"/>
  <c r="AG18" i="10" s="1"/>
  <c r="AP11" i="10"/>
  <c r="AQ9" i="10"/>
  <c r="AR7" i="10"/>
  <c r="AK15" i="10" s="1"/>
  <c r="AG17" i="10"/>
  <c r="AI18" i="10"/>
  <c r="AI19" i="10"/>
  <c r="AF20" i="10"/>
  <c r="AH15" i="10"/>
  <c r="AG30" i="10"/>
  <c r="AI30" i="10"/>
  <c r="AH33" i="10"/>
  <c r="AJ35" i="10"/>
  <c r="AG33" i="10"/>
  <c r="AI35" i="10"/>
  <c r="AH32" i="10"/>
  <c r="AH35" i="10"/>
  <c r="AG32" i="10"/>
  <c r="AI34" i="10"/>
  <c r="AJ31" i="10"/>
  <c r="AJ34" i="10"/>
  <c r="AI31" i="10"/>
  <c r="AG35" i="10"/>
  <c r="AH34" i="10"/>
  <c r="AG34" i="10"/>
  <c r="AI32" i="10"/>
  <c r="AJ32" i="10"/>
  <c r="AJ33" i="10"/>
  <c r="AH31" i="10"/>
  <c r="AH30" i="10"/>
  <c r="AG31" i="10"/>
  <c r="AI33" i="10"/>
  <c r="AJ30" i="10"/>
  <c r="AI16" i="10"/>
  <c r="AG19" i="10"/>
  <c r="AI20" i="10"/>
  <c r="AJ16" i="10"/>
  <c r="AJ17" i="10"/>
  <c r="AH19" i="10"/>
  <c r="AM15" i="10" l="1"/>
  <c r="AQ15" i="10" s="1"/>
  <c r="AB22" i="10" s="1"/>
  <c r="AM20" i="10"/>
  <c r="AO20" i="10" s="1"/>
  <c r="Z27" i="10" s="1"/>
  <c r="AM17" i="10"/>
  <c r="AM18" i="10"/>
  <c r="AF38" i="10" a="1"/>
  <c r="AM19" i="10"/>
  <c r="AM16" i="10"/>
  <c r="AP15" i="10" l="1"/>
  <c r="AA22" i="10" s="1"/>
  <c r="AT15" i="10"/>
  <c r="AE22" i="10" s="1"/>
  <c r="AO15" i="10"/>
  <c r="Z22" i="10" s="1"/>
  <c r="AS15" i="10"/>
  <c r="AD22" i="10" s="1"/>
  <c r="AR15" i="10"/>
  <c r="AC22" i="10" s="1"/>
  <c r="AP20" i="10"/>
  <c r="AA27" i="10" s="1"/>
  <c r="AR20" i="10"/>
  <c r="AC27" i="10" s="1"/>
  <c r="AQ20" i="10"/>
  <c r="AB27" i="10" s="1"/>
  <c r="AT20" i="10"/>
  <c r="AE27" i="10" s="1"/>
  <c r="AS20" i="10"/>
  <c r="AD27" i="10" s="1"/>
  <c r="AT19" i="10"/>
  <c r="AE26" i="10" s="1"/>
  <c r="AO19" i="10"/>
  <c r="Z26" i="10" s="1"/>
  <c r="AP19" i="10"/>
  <c r="AA26" i="10" s="1"/>
  <c r="AS19" i="10"/>
  <c r="AD26" i="10" s="1"/>
  <c r="AQ19" i="10"/>
  <c r="AB26" i="10" s="1"/>
  <c r="AR19" i="10"/>
  <c r="AC26" i="10" s="1"/>
  <c r="AI43" i="10"/>
  <c r="AN43" i="10" s="1"/>
  <c r="F32" i="11" s="1"/>
  <c r="AH40" i="10"/>
  <c r="AM40" i="10" s="1"/>
  <c r="E29" i="11" s="1"/>
  <c r="AG39" i="10"/>
  <c r="AL39" i="10" s="1"/>
  <c r="D28" i="11" s="1"/>
  <c r="AG40" i="10"/>
  <c r="AL40" i="10" s="1"/>
  <c r="D29" i="11" s="1"/>
  <c r="AH41" i="10"/>
  <c r="AM41" i="10" s="1"/>
  <c r="E30" i="11" s="1"/>
  <c r="AI40" i="10"/>
  <c r="AN40" i="10" s="1"/>
  <c r="F29" i="11" s="1"/>
  <c r="AF38" i="10"/>
  <c r="AK38" i="10" s="1"/>
  <c r="C27" i="11" s="1"/>
  <c r="AH43" i="10"/>
  <c r="AM43" i="10" s="1"/>
  <c r="E32" i="11" s="1"/>
  <c r="AF39" i="10"/>
  <c r="AK39" i="10" s="1"/>
  <c r="C28" i="11" s="1"/>
  <c r="AG43" i="10"/>
  <c r="AL43" i="10" s="1"/>
  <c r="D32" i="11" s="1"/>
  <c r="AF43" i="10"/>
  <c r="AK43" i="10" s="1"/>
  <c r="C32" i="11" s="1"/>
  <c r="AG42" i="10"/>
  <c r="AL42" i="10" s="1"/>
  <c r="D31" i="11" s="1"/>
  <c r="AI39" i="10"/>
  <c r="AN39" i="10" s="1"/>
  <c r="F28" i="11" s="1"/>
  <c r="AI38" i="10"/>
  <c r="AN38" i="10" s="1"/>
  <c r="F27" i="11" s="1"/>
  <c r="AH39" i="10"/>
  <c r="AM39" i="10" s="1"/>
  <c r="E28" i="11" s="1"/>
  <c r="AF42" i="10"/>
  <c r="AK42" i="10" s="1"/>
  <c r="C31" i="11" s="1"/>
  <c r="AI42" i="10"/>
  <c r="AN42" i="10" s="1"/>
  <c r="F31" i="11" s="1"/>
  <c r="AH38" i="10"/>
  <c r="AM38" i="10" s="1"/>
  <c r="E27" i="11" s="1"/>
  <c r="AH42" i="10"/>
  <c r="AM42" i="10" s="1"/>
  <c r="E31" i="11" s="1"/>
  <c r="AI41" i="10"/>
  <c r="AN41" i="10" s="1"/>
  <c r="F30" i="11" s="1"/>
  <c r="AG41" i="10"/>
  <c r="AL41" i="10" s="1"/>
  <c r="D30" i="11" s="1"/>
  <c r="AG38" i="10"/>
  <c r="AL38" i="10" s="1"/>
  <c r="D27" i="11" s="1"/>
  <c r="AF41" i="10"/>
  <c r="AK41" i="10" s="1"/>
  <c r="C30" i="11" s="1"/>
  <c r="AF40" i="10"/>
  <c r="AK40" i="10" s="1"/>
  <c r="C29" i="11" s="1"/>
  <c r="AS18" i="10"/>
  <c r="AD25" i="10" s="1"/>
  <c r="AQ18" i="10"/>
  <c r="AB25" i="10" s="1"/>
  <c r="AR18" i="10"/>
  <c r="AC25" i="10" s="1"/>
  <c r="AO18" i="10"/>
  <c r="Z25" i="10" s="1"/>
  <c r="AT18" i="10"/>
  <c r="AE25" i="10" s="1"/>
  <c r="AP18" i="10"/>
  <c r="AA25" i="10" s="1"/>
  <c r="AP17" i="10"/>
  <c r="AA24" i="10" s="1"/>
  <c r="AT17" i="10"/>
  <c r="AE24" i="10" s="1"/>
  <c r="AQ17" i="10"/>
  <c r="AB24" i="10" s="1"/>
  <c r="AO17" i="10"/>
  <c r="Z24" i="10" s="1"/>
  <c r="AS17" i="10"/>
  <c r="AD24" i="10" s="1"/>
  <c r="AR17" i="10"/>
  <c r="AC24" i="10" s="1"/>
  <c r="AO16" i="10"/>
  <c r="Z23" i="10" s="1"/>
  <c r="AT16" i="10"/>
  <c r="AE23" i="10" s="1"/>
  <c r="AS16" i="10"/>
  <c r="AD23" i="10" s="1"/>
  <c r="AQ16" i="10"/>
  <c r="AB23" i="10" s="1"/>
  <c r="AR16" i="10"/>
  <c r="AC23" i="10" s="1"/>
  <c r="AP16" i="10"/>
  <c r="AA23" i="10" s="1"/>
  <c r="Z30" i="10" l="1" a="1"/>
  <c r="AA30" i="10" s="1"/>
  <c r="Z38" i="10" a="1"/>
  <c r="AB39" i="10" s="1"/>
  <c r="M27" i="11" a="1"/>
  <c r="AA42" i="10" l="1"/>
  <c r="AB34" i="10"/>
  <c r="AA33" i="10"/>
  <c r="AA41" i="10"/>
  <c r="Z38" i="10"/>
  <c r="AC34" i="10"/>
  <c r="AB40" i="10"/>
  <c r="AB33" i="10"/>
  <c r="AC39" i="10"/>
  <c r="Z35" i="10"/>
  <c r="AB30" i="10"/>
  <c r="AC33" i="10"/>
  <c r="AC32" i="10"/>
  <c r="AA35" i="10"/>
  <c r="AC30" i="10"/>
  <c r="Z34" i="10"/>
  <c r="Z33" i="10"/>
  <c r="Z30" i="10"/>
  <c r="Z31" i="10"/>
  <c r="AA32" i="10"/>
  <c r="AB31" i="10"/>
  <c r="AA31" i="10"/>
  <c r="AC31" i="10"/>
  <c r="AB35" i="10"/>
  <c r="Z40" i="10"/>
  <c r="AA34" i="10"/>
  <c r="AC35" i="10"/>
  <c r="Z42" i="10"/>
  <c r="Z32" i="10"/>
  <c r="AB32" i="10"/>
  <c r="AB41" i="10"/>
  <c r="AA43" i="10"/>
  <c r="AB43" i="10"/>
  <c r="AA38" i="10"/>
  <c r="Z43" i="10"/>
  <c r="AB38" i="10"/>
  <c r="AC38" i="10"/>
  <c r="AA39" i="10"/>
  <c r="AC41" i="10"/>
  <c r="Z39" i="10"/>
  <c r="AC43" i="10"/>
  <c r="AC40" i="10"/>
  <c r="AB42" i="10"/>
  <c r="Z41" i="10"/>
  <c r="AA40" i="10"/>
  <c r="AC42" i="10"/>
  <c r="P28" i="11"/>
  <c r="N29" i="11"/>
  <c r="O28" i="11"/>
  <c r="O31" i="11"/>
  <c r="N32" i="11"/>
  <c r="M31" i="11"/>
  <c r="O27" i="11"/>
  <c r="O29" i="11"/>
  <c r="M32" i="11"/>
  <c r="N27" i="11"/>
  <c r="P31" i="11"/>
  <c r="P32" i="11"/>
  <c r="N30" i="11"/>
  <c r="N28" i="11"/>
  <c r="P29" i="11"/>
  <c r="O32" i="11"/>
  <c r="M29" i="11"/>
  <c r="M28" i="11"/>
  <c r="M27" i="11"/>
  <c r="O30" i="11"/>
  <c r="P30" i="11"/>
  <c r="M30" i="11"/>
  <c r="N31" i="11"/>
  <c r="P27" i="11"/>
  <c r="AF56" i="10" l="1" a="1"/>
  <c r="AF58" i="10" s="1"/>
  <c r="AK58" i="10" s="1"/>
  <c r="C22" i="11" s="1"/>
  <c r="AF48" i="10" a="1"/>
  <c r="AG48" i="10" s="1"/>
  <c r="AL48" i="10" s="1"/>
  <c r="D13" i="11" s="1"/>
  <c r="AH58" i="10" l="1"/>
  <c r="AM58" i="10" s="1"/>
  <c r="E22" i="11" s="1"/>
  <c r="AI57" i="10"/>
  <c r="AN57" i="10" s="1"/>
  <c r="F21" i="11" s="1"/>
  <c r="AG56" i="10"/>
  <c r="AL56" i="10" s="1"/>
  <c r="D20" i="11" s="1"/>
  <c r="AH59" i="10"/>
  <c r="AM59" i="10" s="1"/>
  <c r="E23" i="11" s="1"/>
  <c r="AI58" i="10"/>
  <c r="AN58" i="10" s="1"/>
  <c r="F22" i="11" s="1"/>
  <c r="AG58" i="10"/>
  <c r="AL58" i="10" s="1"/>
  <c r="D22" i="11" s="1"/>
  <c r="AF60" i="10"/>
  <c r="AK60" i="10" s="1"/>
  <c r="C24" i="11" s="1"/>
  <c r="AI59" i="10"/>
  <c r="AN59" i="10" s="1"/>
  <c r="F23" i="11" s="1"/>
  <c r="AF59" i="10"/>
  <c r="AK59" i="10" s="1"/>
  <c r="C23" i="11" s="1"/>
  <c r="AH56" i="10"/>
  <c r="AM56" i="10" s="1"/>
  <c r="E20" i="11" s="1"/>
  <c r="AI56" i="10"/>
  <c r="AN56" i="10" s="1"/>
  <c r="F20" i="11" s="1"/>
  <c r="AG59" i="10"/>
  <c r="AL59" i="10" s="1"/>
  <c r="D23" i="11" s="1"/>
  <c r="AG60" i="10"/>
  <c r="AL60" i="10" s="1"/>
  <c r="D24" i="11" s="1"/>
  <c r="AG61" i="10"/>
  <c r="AL61" i="10" s="1"/>
  <c r="D25" i="11" s="1"/>
  <c r="AI60" i="10"/>
  <c r="AN60" i="10" s="1"/>
  <c r="F24" i="11" s="1"/>
  <c r="AF61" i="10"/>
  <c r="AK61" i="10" s="1"/>
  <c r="C25" i="11" s="1"/>
  <c r="AI61" i="10"/>
  <c r="AN61" i="10" s="1"/>
  <c r="F25" i="11" s="1"/>
  <c r="AF57" i="10"/>
  <c r="AK57" i="10" s="1"/>
  <c r="C21" i="11" s="1"/>
  <c r="AH57" i="10"/>
  <c r="AM57" i="10" s="1"/>
  <c r="E21" i="11" s="1"/>
  <c r="AH61" i="10"/>
  <c r="AM61" i="10" s="1"/>
  <c r="E25" i="11" s="1"/>
  <c r="AF56" i="10"/>
  <c r="AK56" i="10" s="1"/>
  <c r="C20" i="11" s="1"/>
  <c r="AH60" i="10"/>
  <c r="AM60" i="10" s="1"/>
  <c r="E24" i="11" s="1"/>
  <c r="AI51" i="10"/>
  <c r="AN51" i="10" s="1"/>
  <c r="F16" i="11" s="1"/>
  <c r="AG57" i="10"/>
  <c r="AL57" i="10" s="1"/>
  <c r="D21" i="11" s="1"/>
  <c r="AG51" i="10"/>
  <c r="AL51" i="10" s="1"/>
  <c r="D16" i="11" s="1"/>
  <c r="AG49" i="10"/>
  <c r="AL49" i="10" s="1"/>
  <c r="D14" i="11" s="1"/>
  <c r="AF51" i="10"/>
  <c r="AK51" i="10" s="1"/>
  <c r="C16" i="11" s="1"/>
  <c r="AG52" i="10"/>
  <c r="AL52" i="10" s="1"/>
  <c r="D17" i="11" s="1"/>
  <c r="AH52" i="10"/>
  <c r="AM52" i="10" s="1"/>
  <c r="E17" i="11" s="1"/>
  <c r="AG50" i="10"/>
  <c r="AL50" i="10" s="1"/>
  <c r="D15" i="11" s="1"/>
  <c r="AH51" i="10"/>
  <c r="AM51" i="10" s="1"/>
  <c r="E16" i="11" s="1"/>
  <c r="AH49" i="10"/>
  <c r="AM49" i="10" s="1"/>
  <c r="E14" i="11" s="1"/>
  <c r="AI52" i="10"/>
  <c r="AN52" i="10" s="1"/>
  <c r="F17" i="11" s="1"/>
  <c r="AH48" i="10"/>
  <c r="AM48" i="10" s="1"/>
  <c r="E13" i="11" s="1"/>
  <c r="AI49" i="10"/>
  <c r="AN49" i="10" s="1"/>
  <c r="F14" i="11" s="1"/>
  <c r="AI53" i="10"/>
  <c r="AN53" i="10" s="1"/>
  <c r="F18" i="11" s="1"/>
  <c r="AG53" i="10"/>
  <c r="AL53" i="10" s="1"/>
  <c r="D18" i="11" s="1"/>
  <c r="AI48" i="10"/>
  <c r="AN48" i="10" s="1"/>
  <c r="F13" i="11" s="1"/>
  <c r="AF48" i="10"/>
  <c r="AK48" i="10" s="1"/>
  <c r="C13" i="11" s="1"/>
  <c r="AH50" i="10"/>
  <c r="AM50" i="10" s="1"/>
  <c r="E15" i="11" s="1"/>
  <c r="AF53" i="10"/>
  <c r="AK53" i="10" s="1"/>
  <c r="C18" i="11" s="1"/>
  <c r="AI50" i="10"/>
  <c r="AN50" i="10" s="1"/>
  <c r="F15" i="11" s="1"/>
  <c r="AH53" i="10"/>
  <c r="AM53" i="10" s="1"/>
  <c r="E18" i="11" s="1"/>
  <c r="AF49" i="10"/>
  <c r="AK49" i="10" s="1"/>
  <c r="C14" i="11" s="1"/>
  <c r="AF50" i="10"/>
  <c r="AK50" i="10" s="1"/>
  <c r="C15" i="11" s="1"/>
  <c r="AF52" i="10"/>
  <c r="AK52" i="10" s="1"/>
  <c r="C17" i="11" s="1"/>
  <c r="M18" i="11" l="1" a="1"/>
  <c r="M22" i="11" s="1"/>
  <c r="M9" i="11" a="1"/>
  <c r="O9" i="11" s="1"/>
  <c r="O23" i="11" l="1"/>
  <c r="O19" i="11"/>
  <c r="P18" i="11"/>
  <c r="N18" i="11"/>
  <c r="P19" i="11"/>
  <c r="N22" i="11"/>
  <c r="N20" i="11"/>
  <c r="M20" i="11"/>
  <c r="N19" i="11"/>
  <c r="M21" i="11"/>
  <c r="O20" i="11"/>
  <c r="O22" i="11"/>
  <c r="O21" i="11"/>
  <c r="P20" i="11"/>
  <c r="M23" i="11"/>
  <c r="M18" i="11"/>
  <c r="O18" i="11"/>
  <c r="N21" i="11"/>
  <c r="N23" i="11"/>
  <c r="P22" i="11"/>
  <c r="M19" i="11"/>
  <c r="P21" i="11"/>
  <c r="P23" i="11"/>
  <c r="P9" i="11"/>
  <c r="N10" i="11"/>
  <c r="N13" i="11"/>
  <c r="M12" i="11"/>
  <c r="M9" i="11"/>
  <c r="O11" i="11"/>
  <c r="M14" i="11"/>
  <c r="O13" i="11"/>
  <c r="O12" i="11"/>
  <c r="P10" i="11"/>
  <c r="P14" i="11"/>
  <c r="M13" i="11"/>
  <c r="N12" i="11"/>
  <c r="N9" i="11"/>
  <c r="O10" i="11"/>
  <c r="M11" i="11"/>
  <c r="P11" i="11"/>
  <c r="P13" i="11"/>
  <c r="M10" i="11"/>
  <c r="P12" i="11"/>
  <c r="N14" i="11"/>
  <c r="N11" i="11"/>
  <c r="O14" i="11"/>
  <c r="R6" i="11" l="1" a="1"/>
  <c r="S8" i="11" s="1"/>
  <c r="S16" i="11" s="1"/>
  <c r="S23" i="11" s="1"/>
  <c r="U8" i="11" l="1"/>
  <c r="U16" i="11" s="1"/>
  <c r="U23" i="11" s="1"/>
  <c r="R7" i="11"/>
  <c r="R15" i="11" s="1"/>
  <c r="R22" i="11" s="1"/>
  <c r="W8" i="11"/>
  <c r="W16" i="11" s="1"/>
  <c r="W23" i="11" s="1"/>
  <c r="U10" i="11"/>
  <c r="U18" i="11" s="1"/>
  <c r="U25" i="11" s="1"/>
  <c r="U9" i="11"/>
  <c r="U17" i="11" s="1"/>
  <c r="U24" i="11" s="1"/>
  <c r="T8" i="11"/>
  <c r="T16" i="11" s="1"/>
  <c r="T23" i="11" s="1"/>
  <c r="W9" i="11"/>
  <c r="W17" i="11" s="1"/>
  <c r="W24" i="11" s="1"/>
  <c r="S9" i="11"/>
  <c r="S17" i="11" s="1"/>
  <c r="S24" i="11" s="1"/>
  <c r="V6" i="11"/>
  <c r="V14" i="11" s="1"/>
  <c r="V21" i="11" s="1"/>
  <c r="W7" i="11"/>
  <c r="W15" i="11" s="1"/>
  <c r="W22" i="11" s="1"/>
  <c r="T11" i="11"/>
  <c r="T19" i="11" s="1"/>
  <c r="T26" i="11" s="1"/>
  <c r="R11" i="11"/>
  <c r="R19" i="11" s="1"/>
  <c r="R26" i="11" s="1"/>
  <c r="W10" i="11"/>
  <c r="W18" i="11" s="1"/>
  <c r="W25" i="11" s="1"/>
  <c r="U7" i="11"/>
  <c r="U15" i="11" s="1"/>
  <c r="U22" i="11" s="1"/>
  <c r="T9" i="11"/>
  <c r="T17" i="11" s="1"/>
  <c r="T24" i="11" s="1"/>
  <c r="U11" i="11"/>
  <c r="U19" i="11" s="1"/>
  <c r="U26" i="11" s="1"/>
  <c r="W11" i="11"/>
  <c r="W19" i="11" s="1"/>
  <c r="W26" i="11" s="1"/>
  <c r="R6" i="11"/>
  <c r="R14" i="11" s="1"/>
  <c r="R21" i="11" s="1"/>
  <c r="S10" i="11"/>
  <c r="S18" i="11" s="1"/>
  <c r="S25" i="11" s="1"/>
  <c r="R10" i="11"/>
  <c r="R18" i="11" s="1"/>
  <c r="R25" i="11" s="1"/>
  <c r="U6" i="11"/>
  <c r="U14" i="11" s="1"/>
  <c r="U21" i="11" s="1"/>
  <c r="W6" i="11"/>
  <c r="W14" i="11" s="1"/>
  <c r="W21" i="11" s="1"/>
  <c r="S6" i="11"/>
  <c r="S14" i="11" s="1"/>
  <c r="S21" i="11" s="1"/>
  <c r="S11" i="11"/>
  <c r="S19" i="11" s="1"/>
  <c r="S26" i="11" s="1"/>
  <c r="V7" i="11"/>
  <c r="V15" i="11" s="1"/>
  <c r="V22" i="11" s="1"/>
  <c r="V8" i="11"/>
  <c r="V16" i="11" s="1"/>
  <c r="V23" i="11" s="1"/>
  <c r="T6" i="11"/>
  <c r="T14" i="11" s="1"/>
  <c r="T21" i="11" s="1"/>
  <c r="R9" i="11"/>
  <c r="R17" i="11" s="1"/>
  <c r="R24" i="11" s="1"/>
  <c r="V11" i="11"/>
  <c r="V19" i="11" s="1"/>
  <c r="V26" i="11" s="1"/>
  <c r="S7" i="11"/>
  <c r="S15" i="11" s="1"/>
  <c r="S22" i="11" s="1"/>
  <c r="R8" i="11"/>
  <c r="R16" i="11" s="1"/>
  <c r="R23" i="11" s="1"/>
  <c r="T7" i="11"/>
  <c r="T15" i="11" s="1"/>
  <c r="T22" i="11" s="1"/>
  <c r="V9" i="11"/>
  <c r="V17" i="11" s="1"/>
  <c r="V24" i="11" s="1"/>
  <c r="V10" i="11"/>
  <c r="V18" i="11" s="1"/>
  <c r="V25" i="11" s="1"/>
  <c r="T10" i="11"/>
  <c r="T18" i="11" s="1"/>
  <c r="T25" i="11" s="1"/>
  <c r="U33" i="11" l="1"/>
  <c r="U32" i="11"/>
  <c r="S30" i="11"/>
  <c r="T29" i="11"/>
  <c r="V31" i="11"/>
  <c r="V34" i="11"/>
  <c r="T31" i="11"/>
  <c r="R33" i="11"/>
  <c r="R29" i="11"/>
  <c r="T33" i="11"/>
  <c r="V29" i="11"/>
  <c r="U34" i="11"/>
  <c r="T34" i="11"/>
  <c r="S29" i="11"/>
  <c r="R31" i="11"/>
  <c r="S32" i="11"/>
  <c r="S31" i="11"/>
  <c r="T30" i="11"/>
  <c r="V30" i="11"/>
  <c r="R32" i="11"/>
  <c r="W30" i="11"/>
  <c r="S34" i="11"/>
  <c r="S33" i="11"/>
  <c r="U31" i="11"/>
  <c r="W29" i="11"/>
  <c r="U29" i="11"/>
  <c r="T32" i="11"/>
  <c r="U30" i="11"/>
  <c r="V32" i="11"/>
  <c r="W33" i="11"/>
  <c r="R34" i="11"/>
  <c r="V33" i="11"/>
  <c r="W32" i="11"/>
  <c r="W31" i="11"/>
  <c r="R30" i="11"/>
  <c r="W34" i="11"/>
  <c r="Z6" i="11" l="1" a="1"/>
  <c r="AC11" i="11" s="1"/>
  <c r="AC9" i="11" l="1"/>
  <c r="AA11" i="11"/>
  <c r="AB9" i="11"/>
  <c r="AA6" i="11"/>
  <c r="AC7" i="11"/>
  <c r="Z7" i="11"/>
  <c r="AC10" i="11"/>
  <c r="AA10" i="11"/>
  <c r="Z8" i="11"/>
  <c r="AA9" i="11"/>
  <c r="AC6" i="11"/>
  <c r="AA7" i="11"/>
  <c r="Z6" i="11"/>
  <c r="AE6" i="11" s="1"/>
  <c r="AI6" i="11" s="1"/>
  <c r="Z11" i="11"/>
  <c r="AB7" i="11"/>
  <c r="AC8" i="11"/>
  <c r="AB8" i="11"/>
  <c r="Z9" i="11"/>
  <c r="AB11" i="11"/>
  <c r="AB6" i="11"/>
  <c r="AA8" i="11"/>
  <c r="Z10" i="11"/>
  <c r="AB10" i="11"/>
  <c r="AE10" i="11"/>
  <c r="AI10" i="11" s="1"/>
  <c r="AE9" i="11" l="1"/>
  <c r="AG9" i="11" s="1"/>
  <c r="Z18" i="11" s="1"/>
  <c r="AA18" i="11" s="1"/>
  <c r="AB18" i="11" s="1"/>
  <c r="AC18" i="11" s="1"/>
  <c r="AE11" i="11"/>
  <c r="AG11" i="11" s="1"/>
  <c r="Z20" i="11" s="1"/>
  <c r="AA20" i="11" s="1"/>
  <c r="AB20" i="11" s="1"/>
  <c r="AC20" i="11" s="1"/>
  <c r="AE7" i="11"/>
  <c r="AG7" i="11" s="1"/>
  <c r="Z16" i="11" s="1"/>
  <c r="AA16" i="11" s="1"/>
  <c r="AB16" i="11" s="1"/>
  <c r="AC16" i="11" s="1"/>
  <c r="AE8" i="11"/>
  <c r="AI8" i="11" s="1"/>
  <c r="AG6" i="11"/>
  <c r="Z15" i="11" s="1"/>
  <c r="AA15" i="11" s="1"/>
  <c r="AB15" i="11" s="1"/>
  <c r="AC15" i="11" s="1"/>
  <c r="AG10" i="11"/>
  <c r="Z19" i="11" s="1"/>
  <c r="AA19" i="11" s="1"/>
  <c r="AB19" i="11" s="1"/>
  <c r="AC19" i="11" s="1"/>
  <c r="AI9" i="11" l="1"/>
  <c r="AG8" i="11"/>
  <c r="Z17" i="11" s="1"/>
  <c r="AA17" i="11" s="1"/>
  <c r="AB17" i="11" s="1"/>
  <c r="AC17" i="11" s="1"/>
  <c r="AI7" i="11"/>
  <c r="AI11" i="11"/>
  <c r="AI12" i="11" l="1"/>
  <c r="AG30" i="11" a="1"/>
  <c r="AH30" i="11" s="1"/>
  <c r="AM7" i="11" a="1"/>
  <c r="AN10" i="11" s="1"/>
  <c r="AG18" i="11" s="1"/>
  <c r="AH35" i="11" l="1"/>
  <c r="AG31" i="11"/>
  <c r="AR12" i="11"/>
  <c r="AK20" i="11" s="1"/>
  <c r="AR11" i="11"/>
  <c r="AK19" i="11" s="1"/>
  <c r="AI34" i="11"/>
  <c r="AO12" i="11"/>
  <c r="AH20" i="11" s="1"/>
  <c r="AO8" i="11"/>
  <c r="AH16" i="11" s="1"/>
  <c r="AI30" i="11"/>
  <c r="AO10" i="11"/>
  <c r="AH18" i="11" s="1"/>
  <c r="AO7" i="11"/>
  <c r="AH15" i="11" s="1"/>
  <c r="AG33" i="11"/>
  <c r="AM10" i="11"/>
  <c r="AF18" i="11" s="1"/>
  <c r="AP7" i="11"/>
  <c r="AI15" i="11" s="1"/>
  <c r="AH31" i="11"/>
  <c r="AG34" i="11"/>
  <c r="AM9" i="11"/>
  <c r="AF17" i="11" s="1"/>
  <c r="AN9" i="11"/>
  <c r="AG17" i="11" s="1"/>
  <c r="AH34" i="11"/>
  <c r="AJ34" i="11"/>
  <c r="AR9" i="11"/>
  <c r="AK17" i="11" s="1"/>
  <c r="AR7" i="11"/>
  <c r="AK15" i="11" s="1"/>
  <c r="AQ7" i="11"/>
  <c r="AJ15" i="11" s="1"/>
  <c r="AI31" i="11"/>
  <c r="AG30" i="11"/>
  <c r="AO9" i="11"/>
  <c r="AH17" i="11" s="1"/>
  <c r="AQ9" i="11"/>
  <c r="AJ17" i="11" s="1"/>
  <c r="AO11" i="11"/>
  <c r="AH19" i="11" s="1"/>
  <c r="AG32" i="11"/>
  <c r="AG35" i="11"/>
  <c r="AM7" i="11"/>
  <c r="AF15" i="11" s="1"/>
  <c r="AQ8" i="11"/>
  <c r="AJ16" i="11" s="1"/>
  <c r="AP10" i="11"/>
  <c r="AI18" i="11" s="1"/>
  <c r="AH32" i="11"/>
  <c r="AI33" i="11"/>
  <c r="AQ12" i="11"/>
  <c r="AJ20" i="11" s="1"/>
  <c r="AN7" i="11"/>
  <c r="AG15" i="11" s="1"/>
  <c r="AN11" i="11"/>
  <c r="AG19" i="11" s="1"/>
  <c r="AI32" i="11"/>
  <c r="AI35" i="11"/>
  <c r="AN8" i="11"/>
  <c r="AG16" i="11" s="1"/>
  <c r="AM8" i="11"/>
  <c r="AF16" i="11" s="1"/>
  <c r="AQ10" i="11"/>
  <c r="AJ18" i="11" s="1"/>
  <c r="AJ31" i="11"/>
  <c r="AJ35" i="11"/>
  <c r="AM11" i="11"/>
  <c r="AF19" i="11" s="1"/>
  <c r="AP11" i="11"/>
  <c r="AI19" i="11" s="1"/>
  <c r="AP9" i="11"/>
  <c r="AI17" i="11" s="1"/>
  <c r="AJ32" i="11"/>
  <c r="AJ33" i="11"/>
  <c r="AR8" i="11"/>
  <c r="AK16" i="11" s="1"/>
  <c r="AR10" i="11"/>
  <c r="AK18" i="11" s="1"/>
  <c r="AM12" i="11"/>
  <c r="AF20" i="11" s="1"/>
  <c r="AH33" i="11"/>
  <c r="AJ30" i="11"/>
  <c r="AP12" i="11"/>
  <c r="AI20" i="11" s="1"/>
  <c r="AQ11" i="11"/>
  <c r="AJ19" i="11" s="1"/>
  <c r="AP8" i="11"/>
  <c r="AI16" i="11" s="1"/>
  <c r="AN12" i="11"/>
  <c r="AG20" i="11" s="1"/>
  <c r="AM19" i="11" l="1"/>
  <c r="AT19" i="11" s="1"/>
  <c r="AE26" i="11" s="1"/>
  <c r="AM15" i="11"/>
  <c r="AP15" i="11" s="1"/>
  <c r="AA22" i="11" s="1"/>
  <c r="AM17" i="11"/>
  <c r="AT17" i="11" s="1"/>
  <c r="AE24" i="11" s="1"/>
  <c r="AM20" i="11"/>
  <c r="AS20" i="11" s="1"/>
  <c r="AD27" i="11" s="1"/>
  <c r="AF38" i="11" a="1"/>
  <c r="AF39" i="11" s="1"/>
  <c r="AK39" i="11" s="1"/>
  <c r="C28" i="12" s="1"/>
  <c r="AM16" i="11"/>
  <c r="AP16" i="11" s="1"/>
  <c r="AA23" i="11" s="1"/>
  <c r="AM18" i="11"/>
  <c r="AR18" i="11" s="1"/>
  <c r="AC25" i="11" s="1"/>
  <c r="AP19" i="11"/>
  <c r="AA26" i="11" s="1"/>
  <c r="AS19" i="11"/>
  <c r="AD26" i="11" s="1"/>
  <c r="AR19" i="11"/>
  <c r="AC26" i="11" s="1"/>
  <c r="AO19" i="11"/>
  <c r="Z26" i="11" s="1"/>
  <c r="AO15" i="11"/>
  <c r="Z22" i="11" s="1"/>
  <c r="AP18" i="11" l="1"/>
  <c r="AA25" i="11" s="1"/>
  <c r="AS18" i="11"/>
  <c r="AD25" i="11" s="1"/>
  <c r="AR17" i="11"/>
  <c r="AC24" i="11" s="1"/>
  <c r="AT20" i="11"/>
  <c r="AE27" i="11" s="1"/>
  <c r="AR20" i="11"/>
  <c r="AC27" i="11" s="1"/>
  <c r="AO20" i="11"/>
  <c r="Z27" i="11" s="1"/>
  <c r="AP20" i="11"/>
  <c r="AA27" i="11" s="1"/>
  <c r="AS15" i="11"/>
  <c r="AD22" i="11" s="1"/>
  <c r="AQ20" i="11"/>
  <c r="AB27" i="11" s="1"/>
  <c r="AR15" i="11"/>
  <c r="AC22" i="11" s="1"/>
  <c r="AT15" i="11"/>
  <c r="AE22" i="11" s="1"/>
  <c r="AO17" i="11"/>
  <c r="Z24" i="11" s="1"/>
  <c r="AP17" i="11"/>
  <c r="AA24" i="11" s="1"/>
  <c r="AQ19" i="11"/>
  <c r="AB26" i="11" s="1"/>
  <c r="AQ15" i="11"/>
  <c r="AB22" i="11" s="1"/>
  <c r="AS17" i="11"/>
  <c r="AD24" i="11" s="1"/>
  <c r="AQ17" i="11"/>
  <c r="AB24" i="11" s="1"/>
  <c r="AO18" i="11"/>
  <c r="Z25" i="11" s="1"/>
  <c r="AQ18" i="11"/>
  <c r="AB25" i="11" s="1"/>
  <c r="AT18" i="11"/>
  <c r="AE25" i="11" s="1"/>
  <c r="AG42" i="11"/>
  <c r="AL42" i="11" s="1"/>
  <c r="D31" i="12" s="1"/>
  <c r="AF40" i="11"/>
  <c r="AK40" i="11" s="1"/>
  <c r="C29" i="12" s="1"/>
  <c r="AH41" i="11"/>
  <c r="AM41" i="11" s="1"/>
  <c r="E30" i="12" s="1"/>
  <c r="AI42" i="11"/>
  <c r="AN42" i="11" s="1"/>
  <c r="F31" i="12" s="1"/>
  <c r="AI41" i="11"/>
  <c r="AN41" i="11" s="1"/>
  <c r="F30" i="12" s="1"/>
  <c r="AH42" i="11"/>
  <c r="AM42" i="11" s="1"/>
  <c r="E31" i="12" s="1"/>
  <c r="AF38" i="11"/>
  <c r="AK38" i="11" s="1"/>
  <c r="C27" i="12" s="1"/>
  <c r="AH40" i="11"/>
  <c r="AM40" i="11" s="1"/>
  <c r="E29" i="12" s="1"/>
  <c r="AH38" i="11"/>
  <c r="AM38" i="11" s="1"/>
  <c r="E27" i="12" s="1"/>
  <c r="AQ16" i="11"/>
  <c r="AB23" i="11" s="1"/>
  <c r="AF41" i="11"/>
  <c r="AK41" i="11" s="1"/>
  <c r="C30" i="12" s="1"/>
  <c r="AH39" i="11"/>
  <c r="AM39" i="11" s="1"/>
  <c r="E28" i="12" s="1"/>
  <c r="AR16" i="11"/>
  <c r="AC23" i="11" s="1"/>
  <c r="AG41" i="11"/>
  <c r="AL41" i="11" s="1"/>
  <c r="D30" i="12" s="1"/>
  <c r="AF42" i="11"/>
  <c r="AK42" i="11" s="1"/>
  <c r="C31" i="12" s="1"/>
  <c r="AS16" i="11"/>
  <c r="AD23" i="11" s="1"/>
  <c r="AF43" i="11"/>
  <c r="AK43" i="11" s="1"/>
  <c r="C32" i="12" s="1"/>
  <c r="AG38" i="11"/>
  <c r="AL38" i="11" s="1"/>
  <c r="D27" i="12" s="1"/>
  <c r="AT16" i="11"/>
  <c r="AE23" i="11" s="1"/>
  <c r="AI43" i="11"/>
  <c r="AN43" i="11" s="1"/>
  <c r="F32" i="12" s="1"/>
  <c r="AI40" i="11"/>
  <c r="AN40" i="11" s="1"/>
  <c r="F29" i="12" s="1"/>
  <c r="AG43" i="11"/>
  <c r="AL43" i="11" s="1"/>
  <c r="D32" i="12" s="1"/>
  <c r="AG40" i="11"/>
  <c r="AL40" i="11" s="1"/>
  <c r="D29" i="12" s="1"/>
  <c r="AO16" i="11"/>
  <c r="Z23" i="11" s="1"/>
  <c r="AI38" i="11"/>
  <c r="AN38" i="11" s="1"/>
  <c r="F27" i="12" s="1"/>
  <c r="AI39" i="11"/>
  <c r="AN39" i="11" s="1"/>
  <c r="F28" i="12" s="1"/>
  <c r="AH43" i="11"/>
  <c r="AM43" i="11" s="1"/>
  <c r="E32" i="12" s="1"/>
  <c r="AG39" i="11"/>
  <c r="AL39" i="11" s="1"/>
  <c r="D28" i="12" s="1"/>
  <c r="Z30" i="11" l="1" a="1"/>
  <c r="AA32" i="11" s="1"/>
  <c r="Z38" i="11" a="1"/>
  <c r="AB40" i="11" s="1"/>
  <c r="M27" i="12" a="1"/>
  <c r="N30" i="12" s="1"/>
  <c r="Z39" i="11" l="1"/>
  <c r="Z38" i="11"/>
  <c r="Z34" i="11"/>
  <c r="AB32" i="11"/>
  <c r="AA34" i="11"/>
  <c r="AC41" i="11"/>
  <c r="Z41" i="11"/>
  <c r="AB30" i="11"/>
  <c r="Z31" i="11"/>
  <c r="AA40" i="11"/>
  <c r="AB31" i="11"/>
  <c r="AC34" i="11"/>
  <c r="Z42" i="11"/>
  <c r="AB33" i="11"/>
  <c r="AB34" i="11"/>
  <c r="AC39" i="11"/>
  <c r="AC31" i="11"/>
  <c r="AA35" i="11"/>
  <c r="AC40" i="11"/>
  <c r="AC30" i="11"/>
  <c r="Z33" i="11"/>
  <c r="AC35" i="11"/>
  <c r="AA30" i="11"/>
  <c r="AC43" i="11"/>
  <c r="AA31" i="11"/>
  <c r="AA33" i="11"/>
  <c r="AB39" i="11"/>
  <c r="AC33" i="11"/>
  <c r="AC32" i="11"/>
  <c r="M29" i="12"/>
  <c r="Z32" i="11"/>
  <c r="AB35" i="11"/>
  <c r="P27" i="12"/>
  <c r="Z35" i="11"/>
  <c r="Z30" i="11"/>
  <c r="P32" i="12"/>
  <c r="AC42" i="11"/>
  <c r="N27" i="12"/>
  <c r="P31" i="12"/>
  <c r="AC38" i="11"/>
  <c r="AA42" i="11"/>
  <c r="M27" i="12"/>
  <c r="AA38" i="11"/>
  <c r="AB43" i="11"/>
  <c r="P28" i="12"/>
  <c r="O27" i="12"/>
  <c r="M31" i="12"/>
  <c r="N31" i="12"/>
  <c r="AB42" i="11"/>
  <c r="O30" i="12"/>
  <c r="AA39" i="11"/>
  <c r="Z43" i="11"/>
  <c r="AA41" i="11"/>
  <c r="AA43" i="11"/>
  <c r="Z40" i="11"/>
  <c r="AB41" i="11"/>
  <c r="AB38" i="11"/>
  <c r="O28" i="12"/>
  <c r="O32" i="12"/>
  <c r="N28" i="12"/>
  <c r="M28" i="12"/>
  <c r="P30" i="12"/>
  <c r="O29" i="12"/>
  <c r="M30" i="12"/>
  <c r="N32" i="12"/>
  <c r="N29" i="12"/>
  <c r="P29" i="12"/>
  <c r="O31" i="12"/>
  <c r="M32" i="12"/>
  <c r="AF56" i="11" l="1" a="1"/>
  <c r="AG59" i="11" s="1"/>
  <c r="AL59" i="11" s="1"/>
  <c r="D23" i="12" s="1"/>
  <c r="AF48" i="11" a="1"/>
  <c r="AG51" i="11" s="1"/>
  <c r="AL51" i="11" s="1"/>
  <c r="D16" i="12" s="1"/>
  <c r="AF60" i="11" l="1"/>
  <c r="AK60" i="11" s="1"/>
  <c r="C24" i="12" s="1"/>
  <c r="AF56" i="11"/>
  <c r="AK56" i="11" s="1"/>
  <c r="C20" i="12" s="1"/>
  <c r="AG56" i="11"/>
  <c r="AL56" i="11" s="1"/>
  <c r="D20" i="12" s="1"/>
  <c r="AG58" i="11"/>
  <c r="AL58" i="11" s="1"/>
  <c r="D22" i="12" s="1"/>
  <c r="AH56" i="11"/>
  <c r="AM56" i="11" s="1"/>
  <c r="E20" i="12" s="1"/>
  <c r="AI59" i="11"/>
  <c r="AN59" i="11" s="1"/>
  <c r="F23" i="12" s="1"/>
  <c r="AH51" i="11"/>
  <c r="AM51" i="11" s="1"/>
  <c r="E16" i="12" s="1"/>
  <c r="AH52" i="11"/>
  <c r="AM52" i="11" s="1"/>
  <c r="E17" i="12" s="1"/>
  <c r="AF52" i="11"/>
  <c r="AK52" i="11" s="1"/>
  <c r="C17" i="12" s="1"/>
  <c r="AI57" i="11"/>
  <c r="AN57" i="11" s="1"/>
  <c r="F21" i="12" s="1"/>
  <c r="AF61" i="11"/>
  <c r="AK61" i="11" s="1"/>
  <c r="C25" i="12" s="1"/>
  <c r="AH50" i="11"/>
  <c r="AM50" i="11" s="1"/>
  <c r="E15" i="12" s="1"/>
  <c r="AI61" i="11"/>
  <c r="AN61" i="11" s="1"/>
  <c r="F25" i="12" s="1"/>
  <c r="AG57" i="11"/>
  <c r="AL57" i="11" s="1"/>
  <c r="D21" i="12" s="1"/>
  <c r="AI52" i="11"/>
  <c r="AN52" i="11" s="1"/>
  <c r="F17" i="12" s="1"/>
  <c r="AF58" i="11"/>
  <c r="AK58" i="11" s="1"/>
  <c r="C22" i="12" s="1"/>
  <c r="AF48" i="11"/>
  <c r="AK48" i="11" s="1"/>
  <c r="C13" i="12" s="1"/>
  <c r="AI50" i="11"/>
  <c r="AN50" i="11" s="1"/>
  <c r="F15" i="12" s="1"/>
  <c r="AI56" i="11"/>
  <c r="AN56" i="11" s="1"/>
  <c r="F20" i="12" s="1"/>
  <c r="AI51" i="11"/>
  <c r="AN51" i="11" s="1"/>
  <c r="F16" i="12" s="1"/>
  <c r="AF53" i="11"/>
  <c r="AK53" i="11" s="1"/>
  <c r="C18" i="12" s="1"/>
  <c r="AI58" i="11"/>
  <c r="AN58" i="11" s="1"/>
  <c r="F22" i="12" s="1"/>
  <c r="AF49" i="11"/>
  <c r="AK49" i="11" s="1"/>
  <c r="C14" i="12" s="1"/>
  <c r="AG50" i="11"/>
  <c r="AL50" i="11" s="1"/>
  <c r="D15" i="12" s="1"/>
  <c r="AG60" i="11"/>
  <c r="AL60" i="11" s="1"/>
  <c r="D24" i="12" s="1"/>
  <c r="AG52" i="11"/>
  <c r="AL52" i="11" s="1"/>
  <c r="D17" i="12" s="1"/>
  <c r="AG48" i="11"/>
  <c r="AL48" i="11" s="1"/>
  <c r="D13" i="12" s="1"/>
  <c r="AH59" i="11"/>
  <c r="AM59" i="11" s="1"/>
  <c r="E23" i="12" s="1"/>
  <c r="AH58" i="11"/>
  <c r="AM58" i="11" s="1"/>
  <c r="E22" i="12" s="1"/>
  <c r="AG49" i="11"/>
  <c r="AL49" i="11" s="1"/>
  <c r="D14" i="12" s="1"/>
  <c r="AI53" i="11"/>
  <c r="AN53" i="11" s="1"/>
  <c r="F18" i="12" s="1"/>
  <c r="AI60" i="11"/>
  <c r="AN60" i="11" s="1"/>
  <c r="F24" i="12" s="1"/>
  <c r="AF57" i="11"/>
  <c r="AK57" i="11" s="1"/>
  <c r="C21" i="12" s="1"/>
  <c r="AI49" i="11"/>
  <c r="AN49" i="11" s="1"/>
  <c r="F14" i="12" s="1"/>
  <c r="AG53" i="11"/>
  <c r="AL53" i="11" s="1"/>
  <c r="D18" i="12" s="1"/>
  <c r="AG61" i="11"/>
  <c r="AL61" i="11" s="1"/>
  <c r="D25" i="12" s="1"/>
  <c r="AH57" i="11"/>
  <c r="AM57" i="11" s="1"/>
  <c r="E21" i="12" s="1"/>
  <c r="AH49" i="11"/>
  <c r="AM49" i="11" s="1"/>
  <c r="E14" i="12" s="1"/>
  <c r="AF51" i="11"/>
  <c r="AK51" i="11" s="1"/>
  <c r="C16" i="12" s="1"/>
  <c r="AF59" i="11"/>
  <c r="AK59" i="11" s="1"/>
  <c r="C23" i="12" s="1"/>
  <c r="AH60" i="11"/>
  <c r="AM60" i="11" s="1"/>
  <c r="E24" i="12" s="1"/>
  <c r="AF50" i="11"/>
  <c r="AK50" i="11" s="1"/>
  <c r="C15" i="12" s="1"/>
  <c r="AI48" i="11"/>
  <c r="AN48" i="11" s="1"/>
  <c r="F13" i="12" s="1"/>
  <c r="AH61" i="11"/>
  <c r="AM61" i="11" s="1"/>
  <c r="E25" i="12" s="1"/>
  <c r="AH48" i="11"/>
  <c r="AM48" i="11" s="1"/>
  <c r="E13" i="12" s="1"/>
  <c r="AH53" i="11"/>
  <c r="AM53" i="11" s="1"/>
  <c r="E18" i="12" s="1"/>
  <c r="M18" i="12" l="1" a="1"/>
  <c r="N19" i="12" s="1"/>
  <c r="M9" i="12" a="1"/>
  <c r="M13" i="12" s="1"/>
  <c r="O21" i="12" l="1"/>
  <c r="P10" i="12"/>
  <c r="P19" i="12"/>
  <c r="M10" i="12"/>
  <c r="P18" i="12"/>
  <c r="O19" i="12"/>
  <c r="O14" i="12"/>
  <c r="P21" i="12"/>
  <c r="M12" i="12"/>
  <c r="P22" i="12"/>
  <c r="O10" i="12"/>
  <c r="N22" i="12"/>
  <c r="O12" i="12"/>
  <c r="P20" i="12"/>
  <c r="M20" i="12"/>
  <c r="N23" i="12"/>
  <c r="N20" i="12"/>
  <c r="M21" i="12"/>
  <c r="O20" i="12"/>
  <c r="N18" i="12"/>
  <c r="N21" i="12"/>
  <c r="M19" i="12"/>
  <c r="M18" i="12"/>
  <c r="P23" i="12"/>
  <c r="M22" i="12"/>
  <c r="O23" i="12"/>
  <c r="O18" i="12"/>
  <c r="M23" i="12"/>
  <c r="O22" i="12"/>
  <c r="N11" i="12"/>
  <c r="M14" i="12"/>
  <c r="P14" i="12"/>
  <c r="N13" i="12"/>
  <c r="N12" i="12"/>
  <c r="O13" i="12"/>
  <c r="O9" i="12"/>
  <c r="M9" i="12"/>
  <c r="P9" i="12"/>
  <c r="P12" i="12"/>
  <c r="M11" i="12"/>
  <c r="O11" i="12"/>
  <c r="P13" i="12"/>
  <c r="N9" i="12"/>
  <c r="N14" i="12"/>
  <c r="P11" i="12"/>
  <c r="N10" i="12"/>
  <c r="R6" i="12" l="1" a="1"/>
  <c r="T6" i="12" s="1"/>
  <c r="T14" i="12" s="1"/>
  <c r="T21" i="12" s="1"/>
  <c r="S11" i="12" l="1"/>
  <c r="S19" i="12" s="1"/>
  <c r="S26" i="12" s="1"/>
  <c r="V11" i="12"/>
  <c r="V19" i="12" s="1"/>
  <c r="V26" i="12" s="1"/>
  <c r="V8" i="12"/>
  <c r="V16" i="12" s="1"/>
  <c r="V23" i="12" s="1"/>
  <c r="W9" i="12"/>
  <c r="W17" i="12" s="1"/>
  <c r="W24" i="12" s="1"/>
  <c r="W7" i="12"/>
  <c r="W15" i="12" s="1"/>
  <c r="W22" i="12" s="1"/>
  <c r="U11" i="12"/>
  <c r="U19" i="12" s="1"/>
  <c r="U26" i="12" s="1"/>
  <c r="S7" i="12"/>
  <c r="S15" i="12" s="1"/>
  <c r="S22" i="12" s="1"/>
  <c r="U7" i="12"/>
  <c r="U15" i="12" s="1"/>
  <c r="U22" i="12" s="1"/>
  <c r="S6" i="12"/>
  <c r="S14" i="12" s="1"/>
  <c r="S21" i="12" s="1"/>
  <c r="W11" i="12"/>
  <c r="W19" i="12" s="1"/>
  <c r="W26" i="12" s="1"/>
  <c r="V6" i="12"/>
  <c r="V14" i="12" s="1"/>
  <c r="V21" i="12" s="1"/>
  <c r="U10" i="12"/>
  <c r="U18" i="12" s="1"/>
  <c r="U25" i="12" s="1"/>
  <c r="V9" i="12"/>
  <c r="V17" i="12" s="1"/>
  <c r="V24" i="12" s="1"/>
  <c r="R8" i="12"/>
  <c r="R16" i="12" s="1"/>
  <c r="R23" i="12" s="1"/>
  <c r="R11" i="12"/>
  <c r="R19" i="12" s="1"/>
  <c r="R26" i="12" s="1"/>
  <c r="V7" i="12"/>
  <c r="V15" i="12" s="1"/>
  <c r="V22" i="12" s="1"/>
  <c r="S10" i="12"/>
  <c r="S18" i="12" s="1"/>
  <c r="S25" i="12" s="1"/>
  <c r="S8" i="12"/>
  <c r="S16" i="12" s="1"/>
  <c r="S23" i="12" s="1"/>
  <c r="R10" i="12"/>
  <c r="R18" i="12" s="1"/>
  <c r="R25" i="12" s="1"/>
  <c r="R7" i="12"/>
  <c r="R15" i="12" s="1"/>
  <c r="R22" i="12" s="1"/>
  <c r="V10" i="12"/>
  <c r="V18" i="12" s="1"/>
  <c r="V25" i="12" s="1"/>
  <c r="W8" i="12"/>
  <c r="W16" i="12" s="1"/>
  <c r="W23" i="12" s="1"/>
  <c r="T11" i="12"/>
  <c r="T19" i="12" s="1"/>
  <c r="T26" i="12" s="1"/>
  <c r="T8" i="12"/>
  <c r="T16" i="12" s="1"/>
  <c r="T23" i="12" s="1"/>
  <c r="W6" i="12"/>
  <c r="W14" i="12" s="1"/>
  <c r="W21" i="12" s="1"/>
  <c r="T7" i="12"/>
  <c r="T15" i="12" s="1"/>
  <c r="T22" i="12" s="1"/>
  <c r="U6" i="12"/>
  <c r="U14" i="12" s="1"/>
  <c r="U21" i="12" s="1"/>
  <c r="W10" i="12"/>
  <c r="W18" i="12" s="1"/>
  <c r="W25" i="12" s="1"/>
  <c r="T9" i="12"/>
  <c r="T17" i="12" s="1"/>
  <c r="T24" i="12" s="1"/>
  <c r="U8" i="12"/>
  <c r="U16" i="12" s="1"/>
  <c r="U23" i="12" s="1"/>
  <c r="S9" i="12"/>
  <c r="S17" i="12" s="1"/>
  <c r="S24" i="12" s="1"/>
  <c r="R6" i="12"/>
  <c r="R14" i="12" s="1"/>
  <c r="R21" i="12" s="1"/>
  <c r="R9" i="12"/>
  <c r="R17" i="12" s="1"/>
  <c r="R24" i="12" s="1"/>
  <c r="U9" i="12"/>
  <c r="U17" i="12" s="1"/>
  <c r="U24" i="12" s="1"/>
  <c r="T10" i="12"/>
  <c r="T18" i="12" s="1"/>
  <c r="T25" i="12" s="1"/>
  <c r="R31" i="12" l="1"/>
  <c r="W33" i="12"/>
  <c r="T30" i="12"/>
  <c r="U29" i="12"/>
  <c r="R32" i="12"/>
  <c r="W34" i="12"/>
  <c r="T34" i="12"/>
  <c r="W30" i="12"/>
  <c r="W32" i="12"/>
  <c r="V34" i="12"/>
  <c r="V29" i="12"/>
  <c r="R34" i="12"/>
  <c r="S34" i="12"/>
  <c r="S33" i="12"/>
  <c r="T32" i="12"/>
  <c r="U33" i="12"/>
  <c r="W29" i="12"/>
  <c r="S30" i="12"/>
  <c r="R29" i="12"/>
  <c r="V30" i="12"/>
  <c r="U34" i="12"/>
  <c r="T31" i="12"/>
  <c r="W31" i="12"/>
  <c r="V33" i="12"/>
  <c r="R30" i="12"/>
  <c r="R33" i="12"/>
  <c r="S31" i="12"/>
  <c r="S32" i="12"/>
  <c r="U31" i="12"/>
  <c r="V31" i="12"/>
  <c r="T29" i="12"/>
  <c r="U30" i="12"/>
  <c r="T33" i="12"/>
  <c r="V32" i="12"/>
  <c r="U32" i="12"/>
  <c r="S29" i="12"/>
  <c r="Z6" i="12" l="1" a="1"/>
  <c r="Z10" i="12" s="1"/>
  <c r="AB10" i="12" l="1"/>
  <c r="AA6" i="12"/>
  <c r="AC10" i="12"/>
  <c r="AB9" i="12"/>
  <c r="Z11" i="12"/>
  <c r="AC11" i="12"/>
  <c r="AA9" i="12"/>
  <c r="Z6" i="12"/>
  <c r="AE6" i="12" s="1"/>
  <c r="AB11" i="12"/>
  <c r="AB6" i="12"/>
  <c r="AC7" i="12"/>
  <c r="AA8" i="12"/>
  <c r="AC9" i="12"/>
  <c r="AB7" i="12"/>
  <c r="AA11" i="12"/>
  <c r="AC8" i="12"/>
  <c r="Z8" i="12"/>
  <c r="Z9" i="12"/>
  <c r="Z7" i="12"/>
  <c r="AA7" i="12"/>
  <c r="AC6" i="12"/>
  <c r="AB8" i="12"/>
  <c r="AA10" i="12"/>
  <c r="AE9" i="12"/>
  <c r="AG9" i="12" s="1"/>
  <c r="Z18" i="12" s="1"/>
  <c r="AA18" i="12" s="1"/>
  <c r="AB18" i="12" s="1"/>
  <c r="AC18" i="12" s="1"/>
  <c r="AE7" i="12" l="1"/>
  <c r="AE8" i="12"/>
  <c r="AG8" i="12" s="1"/>
  <c r="Z17" i="12" s="1"/>
  <c r="AA17" i="12" s="1"/>
  <c r="AB17" i="12" s="1"/>
  <c r="AC17" i="12" s="1"/>
  <c r="AE11" i="12"/>
  <c r="AG11" i="12" s="1"/>
  <c r="Z20" i="12" s="1"/>
  <c r="AA20" i="12" s="1"/>
  <c r="AB20" i="12" s="1"/>
  <c r="AC20" i="12" s="1"/>
  <c r="AE10" i="12"/>
  <c r="AI10" i="12" s="1"/>
  <c r="AI9" i="12"/>
  <c r="AI7" i="12"/>
  <c r="AG7" i="12"/>
  <c r="Z16" i="12" s="1"/>
  <c r="AA16" i="12" s="1"/>
  <c r="AB16" i="12" s="1"/>
  <c r="AC16" i="12" s="1"/>
  <c r="AG6" i="12"/>
  <c r="Z15" i="12" s="1"/>
  <c r="AI6" i="12"/>
  <c r="AG10" i="12" l="1"/>
  <c r="Z19" i="12" s="1"/>
  <c r="AA19" i="12" s="1"/>
  <c r="AB19" i="12" s="1"/>
  <c r="AC19" i="12" s="1"/>
  <c r="AI11" i="12"/>
  <c r="AI8" i="12"/>
  <c r="AI12" i="12" s="1"/>
  <c r="AA15" i="12"/>
  <c r="AB15" i="12" s="1"/>
  <c r="AC15" i="12" s="1"/>
  <c r="AG30" i="12" l="1" a="1"/>
  <c r="AM7" i="12" a="1"/>
  <c r="AM12" i="12" l="1"/>
  <c r="AR8" i="12"/>
  <c r="AO10" i="12"/>
  <c r="AM11" i="12"/>
  <c r="AM8" i="12"/>
  <c r="AM7" i="12"/>
  <c r="AO7" i="12"/>
  <c r="AH15" i="12" s="1"/>
  <c r="AQ12" i="12"/>
  <c r="AR12" i="12"/>
  <c r="AN7" i="12"/>
  <c r="AP8" i="12"/>
  <c r="AP10" i="12"/>
  <c r="AQ7" i="12"/>
  <c r="AN9" i="12"/>
  <c r="AN8" i="12"/>
  <c r="AQ9" i="12"/>
  <c r="AO9" i="12"/>
  <c r="AQ11" i="12"/>
  <c r="AO12" i="12"/>
  <c r="AP9" i="12"/>
  <c r="AP12" i="12"/>
  <c r="AN11" i="12"/>
  <c r="AR9" i="12"/>
  <c r="AQ10" i="12"/>
  <c r="AM10" i="12"/>
  <c r="AR11" i="12"/>
  <c r="AN10" i="12"/>
  <c r="AO8" i="12"/>
  <c r="AO11" i="12"/>
  <c r="AN12" i="12"/>
  <c r="AM9" i="12"/>
  <c r="AP7" i="12"/>
  <c r="AP11" i="12"/>
  <c r="AR10" i="12"/>
  <c r="AR7" i="12"/>
  <c r="AQ8" i="12"/>
  <c r="AI33" i="12"/>
  <c r="AH35" i="12"/>
  <c r="AG34" i="12"/>
  <c r="AJ32" i="12"/>
  <c r="AI30" i="12"/>
  <c r="AG32" i="12"/>
  <c r="AJ33" i="12"/>
  <c r="AJ31" i="12"/>
  <c r="AH30" i="12"/>
  <c r="AI31" i="12"/>
  <c r="AH33" i="12"/>
  <c r="AH31" i="12"/>
  <c r="AG33" i="12"/>
  <c r="AG31" i="12"/>
  <c r="AI32" i="12"/>
  <c r="AJ30" i="12"/>
  <c r="AH32" i="12"/>
  <c r="AG30" i="12"/>
  <c r="AG35" i="12"/>
  <c r="AJ35" i="12"/>
  <c r="AJ34" i="12"/>
  <c r="AI35" i="12"/>
  <c r="AI34" i="12"/>
  <c r="AH34" i="12"/>
  <c r="AG20" i="12" l="1"/>
  <c r="AJ17" i="12"/>
  <c r="AK16" i="12"/>
  <c r="AH19" i="12"/>
  <c r="AG16" i="12"/>
  <c r="AF20" i="12"/>
  <c r="AH16" i="12"/>
  <c r="AG17" i="12"/>
  <c r="AG18" i="12"/>
  <c r="AJ15" i="12"/>
  <c r="AF38" i="12" a="1"/>
  <c r="AK19" i="12"/>
  <c r="AI18" i="12"/>
  <c r="AF18" i="12"/>
  <c r="AI16" i="12"/>
  <c r="AJ18" i="12"/>
  <c r="AG15" i="12"/>
  <c r="AK17" i="12"/>
  <c r="AK20" i="12"/>
  <c r="AJ16" i="12"/>
  <c r="AG19" i="12"/>
  <c r="AJ20" i="12"/>
  <c r="AK15" i="12"/>
  <c r="AI20" i="12"/>
  <c r="AK18" i="12"/>
  <c r="AI17" i="12"/>
  <c r="AF15" i="12"/>
  <c r="AI19" i="12"/>
  <c r="AH20" i="12"/>
  <c r="AF16" i="12"/>
  <c r="AI15" i="12"/>
  <c r="AJ19" i="12"/>
  <c r="AF19" i="12"/>
  <c r="AF17" i="12"/>
  <c r="AH17" i="12"/>
  <c r="AH18" i="12"/>
  <c r="AM18" i="12" l="1"/>
  <c r="AM20" i="12"/>
  <c r="AM17" i="12"/>
  <c r="AM15" i="12"/>
  <c r="AM19" i="12"/>
  <c r="AF41" i="12"/>
  <c r="AK41" i="12" s="1"/>
  <c r="C30" i="13" s="1"/>
  <c r="AI40" i="12"/>
  <c r="AN40" i="12" s="1"/>
  <c r="F29" i="13" s="1"/>
  <c r="AH40" i="12"/>
  <c r="AM40" i="12" s="1"/>
  <c r="E29" i="13" s="1"/>
  <c r="AF40" i="12"/>
  <c r="AK40" i="12" s="1"/>
  <c r="C29" i="13" s="1"/>
  <c r="AI42" i="12"/>
  <c r="AN42" i="12" s="1"/>
  <c r="F31" i="13" s="1"/>
  <c r="AG42" i="12"/>
  <c r="AL42" i="12" s="1"/>
  <c r="D31" i="13" s="1"/>
  <c r="AH41" i="12"/>
  <c r="AM41" i="12" s="1"/>
  <c r="E30" i="13" s="1"/>
  <c r="AG40" i="12"/>
  <c r="AL40" i="12" s="1"/>
  <c r="D29" i="13" s="1"/>
  <c r="AI39" i="12"/>
  <c r="AN39" i="12" s="1"/>
  <c r="F28" i="13" s="1"/>
  <c r="AH38" i="12"/>
  <c r="AM38" i="12" s="1"/>
  <c r="E27" i="13" s="1"/>
  <c r="AH39" i="12"/>
  <c r="AM39" i="12" s="1"/>
  <c r="E28" i="13" s="1"/>
  <c r="AI43" i="12"/>
  <c r="AN43" i="12" s="1"/>
  <c r="F32" i="13" s="1"/>
  <c r="AG39" i="12"/>
  <c r="AL39" i="12" s="1"/>
  <c r="D28" i="13" s="1"/>
  <c r="AG38" i="12"/>
  <c r="AL38" i="12" s="1"/>
  <c r="D27" i="13" s="1"/>
  <c r="AH43" i="12"/>
  <c r="AM43" i="12" s="1"/>
  <c r="E32" i="13" s="1"/>
  <c r="AF38" i="12"/>
  <c r="AK38" i="12" s="1"/>
  <c r="C27" i="13" s="1"/>
  <c r="AG43" i="12"/>
  <c r="AL43" i="12" s="1"/>
  <c r="D32" i="13" s="1"/>
  <c r="AH42" i="12"/>
  <c r="AM42" i="12" s="1"/>
  <c r="E31" i="13" s="1"/>
  <c r="AF43" i="12"/>
  <c r="AK43" i="12" s="1"/>
  <c r="C32" i="13" s="1"/>
  <c r="AF39" i="12"/>
  <c r="AK39" i="12" s="1"/>
  <c r="C28" i="13" s="1"/>
  <c r="AF42" i="12"/>
  <c r="AK42" i="12" s="1"/>
  <c r="C31" i="13" s="1"/>
  <c r="AI38" i="12"/>
  <c r="AN38" i="12" s="1"/>
  <c r="F27" i="13" s="1"/>
  <c r="AI41" i="12"/>
  <c r="AN41" i="12" s="1"/>
  <c r="F30" i="13" s="1"/>
  <c r="AG41" i="12"/>
  <c r="AL41" i="12" s="1"/>
  <c r="D30" i="13" s="1"/>
  <c r="AM16" i="12"/>
  <c r="M27" i="13" l="1" a="1"/>
  <c r="AS19" i="12"/>
  <c r="AD26" i="12" s="1"/>
  <c r="AQ19" i="12"/>
  <c r="AB26" i="12" s="1"/>
  <c r="AO19" i="12"/>
  <c r="Z26" i="12" s="1"/>
  <c r="AT19" i="12"/>
  <c r="AE26" i="12" s="1"/>
  <c r="AP19" i="12"/>
  <c r="AA26" i="12" s="1"/>
  <c r="AR19" i="12"/>
  <c r="AC26" i="12" s="1"/>
  <c r="AQ15" i="12"/>
  <c r="AB22" i="12" s="1"/>
  <c r="AT15" i="12"/>
  <c r="AE22" i="12" s="1"/>
  <c r="AP15" i="12"/>
  <c r="AA22" i="12" s="1"/>
  <c r="AR15" i="12"/>
  <c r="AC22" i="12" s="1"/>
  <c r="AS15" i="12"/>
  <c r="AD22" i="12" s="1"/>
  <c r="AO15" i="12"/>
  <c r="Z22" i="12" s="1"/>
  <c r="AP17" i="12"/>
  <c r="AA24" i="12" s="1"/>
  <c r="AS17" i="12"/>
  <c r="AD24" i="12" s="1"/>
  <c r="AT17" i="12"/>
  <c r="AE24" i="12" s="1"/>
  <c r="AR17" i="12"/>
  <c r="AC24" i="12" s="1"/>
  <c r="AO17" i="12"/>
  <c r="Z24" i="12" s="1"/>
  <c r="AQ17" i="12"/>
  <c r="AB24" i="12" s="1"/>
  <c r="AR16" i="12"/>
  <c r="AC23" i="12" s="1"/>
  <c r="AO16" i="12"/>
  <c r="Z23" i="12" s="1"/>
  <c r="AT16" i="12"/>
  <c r="AE23" i="12" s="1"/>
  <c r="AP16" i="12"/>
  <c r="AA23" i="12" s="1"/>
  <c r="AS16" i="12"/>
  <c r="AD23" i="12" s="1"/>
  <c r="AQ16" i="12"/>
  <c r="AB23" i="12" s="1"/>
  <c r="AS20" i="12"/>
  <c r="AD27" i="12" s="1"/>
  <c r="AQ20" i="12"/>
  <c r="AB27" i="12" s="1"/>
  <c r="AP20" i="12"/>
  <c r="AA27" i="12" s="1"/>
  <c r="AR20" i="12"/>
  <c r="AC27" i="12" s="1"/>
  <c r="AT20" i="12"/>
  <c r="AE27" i="12" s="1"/>
  <c r="AO20" i="12"/>
  <c r="Z27" i="12" s="1"/>
  <c r="AQ18" i="12"/>
  <c r="AB25" i="12" s="1"/>
  <c r="AO18" i="12"/>
  <c r="Z25" i="12" s="1"/>
  <c r="AS18" i="12"/>
  <c r="AD25" i="12" s="1"/>
  <c r="AP18" i="12"/>
  <c r="AA25" i="12" s="1"/>
  <c r="AT18" i="12"/>
  <c r="AE25" i="12" s="1"/>
  <c r="AR18" i="12"/>
  <c r="AC25" i="12" s="1"/>
  <c r="Z38" i="12" l="1" a="1"/>
  <c r="Z30" i="12" a="1"/>
  <c r="N29" i="13"/>
  <c r="O30" i="13"/>
  <c r="M29" i="13"/>
  <c r="O28" i="13"/>
  <c r="P32" i="13"/>
  <c r="M27" i="13"/>
  <c r="P28" i="13"/>
  <c r="N32" i="13"/>
  <c r="N28" i="13"/>
  <c r="O31" i="13"/>
  <c r="M28" i="13"/>
  <c r="M32" i="13"/>
  <c r="P27" i="13"/>
  <c r="O27" i="13"/>
  <c r="O32" i="13"/>
  <c r="N27" i="13"/>
  <c r="N30" i="13"/>
  <c r="O29" i="13"/>
  <c r="M31" i="13"/>
  <c r="P31" i="13"/>
  <c r="N31" i="13"/>
  <c r="P30" i="13"/>
  <c r="M30" i="13"/>
  <c r="P29" i="13"/>
  <c r="Z35" i="12" l="1"/>
  <c r="AA34" i="12"/>
  <c r="Z34" i="12"/>
  <c r="AA33" i="12"/>
  <c r="AC33" i="12"/>
  <c r="Z33" i="12"/>
  <c r="Z32" i="12"/>
  <c r="AB35" i="12"/>
  <c r="AC31" i="12"/>
  <c r="AB31" i="12"/>
  <c r="Z31" i="12"/>
  <c r="AA35" i="12"/>
  <c r="AA30" i="12"/>
  <c r="AA31" i="12"/>
  <c r="Z30" i="12"/>
  <c r="AC34" i="12"/>
  <c r="AB33" i="12"/>
  <c r="AC30" i="12"/>
  <c r="AC32" i="12"/>
  <c r="AB34" i="12"/>
  <c r="AB32" i="12"/>
  <c r="AB30" i="12"/>
  <c r="AA32" i="12"/>
  <c r="AC35" i="12"/>
  <c r="AC41" i="12"/>
  <c r="Z43" i="12"/>
  <c r="Z42" i="12"/>
  <c r="AC42" i="12"/>
  <c r="Z40" i="12"/>
  <c r="AC43" i="12"/>
  <c r="AA39" i="12"/>
  <c r="AA40" i="12"/>
  <c r="AA43" i="12"/>
  <c r="AB40" i="12"/>
  <c r="AB39" i="12"/>
  <c r="Z39" i="12"/>
  <c r="AC40" i="12"/>
  <c r="AC39" i="12"/>
  <c r="AB43" i="12"/>
  <c r="AB38" i="12"/>
  <c r="Z41" i="12"/>
  <c r="AB42" i="12"/>
  <c r="Z38" i="12"/>
  <c r="AA42" i="12"/>
  <c r="AA41" i="12"/>
  <c r="AC38" i="12"/>
  <c r="AB41" i="12"/>
  <c r="AA38" i="12"/>
  <c r="AF48" i="12" l="1" a="1"/>
  <c r="AF56" i="12" a="1"/>
  <c r="AG58" i="12" l="1"/>
  <c r="AL58" i="12" s="1"/>
  <c r="D22" i="13" s="1"/>
  <c r="AI57" i="12"/>
  <c r="AN57" i="12" s="1"/>
  <c r="F21" i="13" s="1"/>
  <c r="AF61" i="12"/>
  <c r="AK61" i="12" s="1"/>
  <c r="C25" i="13" s="1"/>
  <c r="AH57" i="12"/>
  <c r="AM57" i="12" s="1"/>
  <c r="E21" i="13" s="1"/>
  <c r="AI60" i="12"/>
  <c r="AN60" i="12" s="1"/>
  <c r="F24" i="13" s="1"/>
  <c r="AG57" i="12"/>
  <c r="AL57" i="12" s="1"/>
  <c r="D21" i="13" s="1"/>
  <c r="AH59" i="12"/>
  <c r="AM59" i="12" s="1"/>
  <c r="E23" i="13" s="1"/>
  <c r="AF60" i="12"/>
  <c r="AK60" i="12" s="1"/>
  <c r="C24" i="13" s="1"/>
  <c r="AI59" i="12"/>
  <c r="AN59" i="12" s="1"/>
  <c r="F23" i="13" s="1"/>
  <c r="AH56" i="12"/>
  <c r="AM56" i="12" s="1"/>
  <c r="E20" i="13" s="1"/>
  <c r="AH60" i="12"/>
  <c r="AM60" i="12" s="1"/>
  <c r="E24" i="13" s="1"/>
  <c r="AG56" i="12"/>
  <c r="AL56" i="12" s="1"/>
  <c r="D20" i="13" s="1"/>
  <c r="AF57" i="12"/>
  <c r="AK57" i="12" s="1"/>
  <c r="C21" i="13" s="1"/>
  <c r="AF56" i="12"/>
  <c r="AK56" i="12" s="1"/>
  <c r="C20" i="13" s="1"/>
  <c r="AG60" i="12"/>
  <c r="AL60" i="12" s="1"/>
  <c r="D24" i="13" s="1"/>
  <c r="AI61" i="12"/>
  <c r="AN61" i="12" s="1"/>
  <c r="F25" i="13" s="1"/>
  <c r="AI56" i="12"/>
  <c r="AN56" i="12" s="1"/>
  <c r="F20" i="13" s="1"/>
  <c r="AH61" i="12"/>
  <c r="AM61" i="12" s="1"/>
  <c r="E25" i="13" s="1"/>
  <c r="AG59" i="12"/>
  <c r="AL59" i="12" s="1"/>
  <c r="D23" i="13" s="1"/>
  <c r="AG61" i="12"/>
  <c r="AL61" i="12" s="1"/>
  <c r="D25" i="13" s="1"/>
  <c r="AF59" i="12"/>
  <c r="AK59" i="12" s="1"/>
  <c r="C23" i="13" s="1"/>
  <c r="AI58" i="12"/>
  <c r="AN58" i="12" s="1"/>
  <c r="F22" i="13" s="1"/>
  <c r="AH58" i="12"/>
  <c r="AM58" i="12" s="1"/>
  <c r="E22" i="13" s="1"/>
  <c r="AF58" i="12"/>
  <c r="AK58" i="12" s="1"/>
  <c r="C22" i="13" s="1"/>
  <c r="AI51" i="12"/>
  <c r="AN51" i="12" s="1"/>
  <c r="F16" i="13" s="1"/>
  <c r="AG50" i="12"/>
  <c r="AL50" i="12" s="1"/>
  <c r="D15" i="13" s="1"/>
  <c r="AI48" i="12"/>
  <c r="AN48" i="12" s="1"/>
  <c r="F13" i="13" s="1"/>
  <c r="AF50" i="12"/>
  <c r="AK50" i="12" s="1"/>
  <c r="C15" i="13" s="1"/>
  <c r="AH48" i="12"/>
  <c r="AM48" i="12" s="1"/>
  <c r="E13" i="13" s="1"/>
  <c r="AH52" i="12"/>
  <c r="AM52" i="12" s="1"/>
  <c r="E17" i="13" s="1"/>
  <c r="AG52" i="12"/>
  <c r="AL52" i="12" s="1"/>
  <c r="D17" i="13" s="1"/>
  <c r="AF51" i="12"/>
  <c r="AK51" i="12" s="1"/>
  <c r="C16" i="13" s="1"/>
  <c r="AH49" i="12"/>
  <c r="AM49" i="12" s="1"/>
  <c r="E14" i="13" s="1"/>
  <c r="AG49" i="12"/>
  <c r="AL49" i="12" s="1"/>
  <c r="D14" i="13" s="1"/>
  <c r="AG53" i="12"/>
  <c r="AL53" i="12" s="1"/>
  <c r="D18" i="13" s="1"/>
  <c r="AI53" i="12"/>
  <c r="AN53" i="12" s="1"/>
  <c r="F18" i="13" s="1"/>
  <c r="AG48" i="12"/>
  <c r="AL48" i="12" s="1"/>
  <c r="D13" i="13" s="1"/>
  <c r="AH53" i="12"/>
  <c r="AM53" i="12" s="1"/>
  <c r="E18" i="13" s="1"/>
  <c r="AF53" i="12"/>
  <c r="AK53" i="12" s="1"/>
  <c r="C18" i="13" s="1"/>
  <c r="AF52" i="12"/>
  <c r="AK52" i="12" s="1"/>
  <c r="C17" i="13" s="1"/>
  <c r="AF48" i="12"/>
  <c r="AK48" i="12" s="1"/>
  <c r="C13" i="13" s="1"/>
  <c r="AI52" i="12"/>
  <c r="AN52" i="12" s="1"/>
  <c r="F17" i="13" s="1"/>
  <c r="AI50" i="12"/>
  <c r="AN50" i="12" s="1"/>
  <c r="F15" i="13" s="1"/>
  <c r="AI49" i="12"/>
  <c r="AN49" i="12" s="1"/>
  <c r="F14" i="13" s="1"/>
  <c r="AH50" i="12"/>
  <c r="AM50" i="12" s="1"/>
  <c r="E15" i="13" s="1"/>
  <c r="AH51" i="12"/>
  <c r="AM51" i="12" s="1"/>
  <c r="E16" i="13" s="1"/>
  <c r="AG51" i="12"/>
  <c r="AL51" i="12" s="1"/>
  <c r="D16" i="13" s="1"/>
  <c r="AF49" i="12"/>
  <c r="AK49" i="12" s="1"/>
  <c r="C14" i="13" s="1"/>
  <c r="M18" i="13" l="1" a="1"/>
  <c r="P18" i="13" s="1"/>
  <c r="M9" i="13" a="1"/>
  <c r="N21" i="13" l="1"/>
  <c r="M20" i="13"/>
  <c r="O21" i="13"/>
  <c r="N20" i="13"/>
  <c r="P21" i="13"/>
  <c r="O20" i="13"/>
  <c r="M18" i="13"/>
  <c r="M19" i="13"/>
  <c r="O23" i="13"/>
  <c r="O22" i="13"/>
  <c r="M22" i="13"/>
  <c r="P22" i="13"/>
  <c r="O18" i="13"/>
  <c r="M23" i="13"/>
  <c r="N18" i="13"/>
  <c r="O19" i="13"/>
  <c r="N19" i="13"/>
  <c r="N23" i="13"/>
  <c r="N22" i="13"/>
  <c r="P19" i="13"/>
  <c r="P23" i="13"/>
  <c r="P20" i="13"/>
  <c r="M21" i="13"/>
  <c r="N11" i="13"/>
  <c r="O10" i="13"/>
  <c r="M10" i="13"/>
  <c r="P9" i="13"/>
  <c r="N14" i="13"/>
  <c r="O9" i="13"/>
  <c r="P10" i="13"/>
  <c r="N9" i="13"/>
  <c r="P12" i="13"/>
  <c r="O13" i="13"/>
  <c r="M9" i="13"/>
  <c r="N13" i="13"/>
  <c r="O12" i="13"/>
  <c r="M11" i="13"/>
  <c r="N12" i="13"/>
  <c r="N10" i="13"/>
  <c r="M12" i="13"/>
  <c r="P14" i="13"/>
  <c r="M13" i="13"/>
  <c r="P11" i="13"/>
  <c r="O11" i="13"/>
  <c r="O14" i="13"/>
  <c r="M14" i="13"/>
  <c r="P13" i="13"/>
  <c r="R6" i="13" l="1" a="1"/>
  <c r="U9" i="13" l="1"/>
  <c r="U17" i="13" s="1"/>
  <c r="U24" i="13" s="1"/>
  <c r="U10" i="13"/>
  <c r="U18" i="13" s="1"/>
  <c r="U25" i="13" s="1"/>
  <c r="R11" i="13"/>
  <c r="R19" i="13" s="1"/>
  <c r="R26" i="13" s="1"/>
  <c r="S7" i="13"/>
  <c r="S15" i="13" s="1"/>
  <c r="S22" i="13" s="1"/>
  <c r="T7" i="13"/>
  <c r="T15" i="13" s="1"/>
  <c r="T22" i="13" s="1"/>
  <c r="W10" i="13"/>
  <c r="W18" i="13" s="1"/>
  <c r="W25" i="13" s="1"/>
  <c r="V9" i="13"/>
  <c r="V17" i="13" s="1"/>
  <c r="V24" i="13" s="1"/>
  <c r="T10" i="13"/>
  <c r="T18" i="13" s="1"/>
  <c r="T25" i="13" s="1"/>
  <c r="R10" i="13"/>
  <c r="R18" i="13" s="1"/>
  <c r="R25" i="13" s="1"/>
  <c r="R7" i="13"/>
  <c r="R15" i="13" s="1"/>
  <c r="R22" i="13" s="1"/>
  <c r="T6" i="13"/>
  <c r="T14" i="13" s="1"/>
  <c r="T21" i="13" s="1"/>
  <c r="W9" i="13"/>
  <c r="W17" i="13" s="1"/>
  <c r="W24" i="13" s="1"/>
  <c r="T9" i="13"/>
  <c r="T17" i="13" s="1"/>
  <c r="T24" i="13" s="1"/>
  <c r="S10" i="13"/>
  <c r="S18" i="13" s="1"/>
  <c r="S25" i="13" s="1"/>
  <c r="W8" i="13"/>
  <c r="W16" i="13" s="1"/>
  <c r="W23" i="13" s="1"/>
  <c r="W6" i="13"/>
  <c r="W14" i="13" s="1"/>
  <c r="W21" i="13" s="1"/>
  <c r="S6" i="13"/>
  <c r="S14" i="13" s="1"/>
  <c r="S21" i="13" s="1"/>
  <c r="V8" i="13"/>
  <c r="V16" i="13" s="1"/>
  <c r="V23" i="13" s="1"/>
  <c r="V11" i="13"/>
  <c r="V19" i="13" s="1"/>
  <c r="V26" i="13" s="1"/>
  <c r="U8" i="13"/>
  <c r="U16" i="13" s="1"/>
  <c r="U23" i="13" s="1"/>
  <c r="T8" i="13"/>
  <c r="T16" i="13" s="1"/>
  <c r="T23" i="13" s="1"/>
  <c r="S9" i="13"/>
  <c r="S17" i="13" s="1"/>
  <c r="S24" i="13" s="1"/>
  <c r="S8" i="13"/>
  <c r="S16" i="13" s="1"/>
  <c r="S23" i="13" s="1"/>
  <c r="V6" i="13"/>
  <c r="V14" i="13" s="1"/>
  <c r="V21" i="13" s="1"/>
  <c r="R8" i="13"/>
  <c r="R16" i="13" s="1"/>
  <c r="R23" i="13" s="1"/>
  <c r="U11" i="13"/>
  <c r="U19" i="13" s="1"/>
  <c r="U26" i="13" s="1"/>
  <c r="W7" i="13"/>
  <c r="W15" i="13" s="1"/>
  <c r="W22" i="13" s="1"/>
  <c r="R9" i="13"/>
  <c r="R17" i="13" s="1"/>
  <c r="R24" i="13" s="1"/>
  <c r="V7" i="13"/>
  <c r="V15" i="13" s="1"/>
  <c r="V22" i="13" s="1"/>
  <c r="U6" i="13"/>
  <c r="U14" i="13" s="1"/>
  <c r="U21" i="13" s="1"/>
  <c r="T11" i="13"/>
  <c r="T19" i="13" s="1"/>
  <c r="T26" i="13" s="1"/>
  <c r="V10" i="13"/>
  <c r="V18" i="13" s="1"/>
  <c r="V25" i="13" s="1"/>
  <c r="R6" i="13"/>
  <c r="R14" i="13" s="1"/>
  <c r="R21" i="13" s="1"/>
  <c r="W11" i="13"/>
  <c r="W19" i="13" s="1"/>
  <c r="W26" i="13" s="1"/>
  <c r="U7" i="13"/>
  <c r="U15" i="13" s="1"/>
  <c r="U22" i="13" s="1"/>
  <c r="S11" i="13"/>
  <c r="S19" i="13" s="1"/>
  <c r="S26" i="13" s="1"/>
  <c r="U34" i="13" l="1"/>
  <c r="S33" i="13"/>
  <c r="R32" i="13"/>
  <c r="W30" i="13"/>
  <c r="R31" i="13"/>
  <c r="U29" i="13"/>
  <c r="T32" i="13"/>
  <c r="W32" i="13"/>
  <c r="T29" i="13"/>
  <c r="V29" i="13"/>
  <c r="R30" i="13"/>
  <c r="S31" i="13"/>
  <c r="R33" i="13"/>
  <c r="S34" i="13"/>
  <c r="S32" i="13"/>
  <c r="T33" i="13"/>
  <c r="U30" i="13"/>
  <c r="T31" i="13"/>
  <c r="V32" i="13"/>
  <c r="W34" i="13"/>
  <c r="U31" i="13"/>
  <c r="W33" i="13"/>
  <c r="R29" i="13"/>
  <c r="V34" i="13"/>
  <c r="T30" i="13"/>
  <c r="V33" i="13"/>
  <c r="V31" i="13"/>
  <c r="S30" i="13"/>
  <c r="T34" i="13"/>
  <c r="S29" i="13"/>
  <c r="R34" i="13"/>
  <c r="W29" i="13"/>
  <c r="U33" i="13"/>
  <c r="V30" i="13"/>
  <c r="W31" i="13"/>
  <c r="U32" i="13"/>
  <c r="Z6" i="13" l="1" a="1"/>
  <c r="AC8" i="13" l="1"/>
  <c r="AB11" i="13"/>
  <c r="AA8" i="13"/>
  <c r="Z11" i="13"/>
  <c r="Z8" i="13"/>
  <c r="AC10" i="13"/>
  <c r="AC7" i="13"/>
  <c r="AB10" i="13"/>
  <c r="AB7" i="13"/>
  <c r="Z7" i="13"/>
  <c r="AC6" i="13"/>
  <c r="AB6" i="13"/>
  <c r="Z9" i="13"/>
  <c r="AC11" i="13"/>
  <c r="AC9" i="13"/>
  <c r="AA6" i="13"/>
  <c r="Z6" i="13"/>
  <c r="AB9" i="13"/>
  <c r="AA9" i="13"/>
  <c r="AB8" i="13"/>
  <c r="AA10" i="13"/>
  <c r="Z10" i="13"/>
  <c r="AA7" i="13"/>
  <c r="AA11" i="13"/>
  <c r="AE7" i="13" l="1"/>
  <c r="AI7" i="13" s="1"/>
  <c r="AE10" i="13"/>
  <c r="AG10" i="13" s="1"/>
  <c r="Z19" i="13" s="1"/>
  <c r="AA19" i="13" s="1"/>
  <c r="AB19" i="13" s="1"/>
  <c r="AC19" i="13" s="1"/>
  <c r="AE9" i="13"/>
  <c r="AE8" i="13"/>
  <c r="AE11" i="13"/>
  <c r="AE6" i="13"/>
  <c r="AI10" i="13" l="1"/>
  <c r="AG7" i="13"/>
  <c r="Z16" i="13" s="1"/>
  <c r="AA16" i="13" s="1"/>
  <c r="AB16" i="13" s="1"/>
  <c r="AC16" i="13" s="1"/>
  <c r="AG9" i="13"/>
  <c r="Z18" i="13" s="1"/>
  <c r="AA18" i="13" s="1"/>
  <c r="AB18" i="13" s="1"/>
  <c r="AC18" i="13" s="1"/>
  <c r="AI9" i="13"/>
  <c r="AG6" i="13"/>
  <c r="Z15" i="13" s="1"/>
  <c r="AI6" i="13"/>
  <c r="AI11" i="13"/>
  <c r="AG11" i="13"/>
  <c r="Z20" i="13" s="1"/>
  <c r="AA20" i="13" s="1"/>
  <c r="AB20" i="13" s="1"/>
  <c r="AC20" i="13" s="1"/>
  <c r="AI8" i="13"/>
  <c r="AG8" i="13"/>
  <c r="Z17" i="13" s="1"/>
  <c r="AA17" i="13" s="1"/>
  <c r="AB17" i="13" s="1"/>
  <c r="AC17" i="13" s="1"/>
  <c r="AI12" i="13" l="1"/>
  <c r="AA15" i="13"/>
  <c r="AB15" i="13" s="1"/>
  <c r="AC15" i="13" s="1"/>
  <c r="AG30" i="13" l="1" a="1"/>
  <c r="AM7" i="13" a="1"/>
  <c r="AN12" i="13" l="1"/>
  <c r="AO12" i="13"/>
  <c r="AM11" i="13"/>
  <c r="AR7" i="13"/>
  <c r="AQ8" i="13"/>
  <c r="AO7" i="13"/>
  <c r="AN10" i="13"/>
  <c r="AO8" i="13"/>
  <c r="AO10" i="13"/>
  <c r="AR10" i="13"/>
  <c r="AR12" i="13"/>
  <c r="AO9" i="13"/>
  <c r="AM8" i="13"/>
  <c r="AN11" i="13"/>
  <c r="AP10" i="13"/>
  <c r="AR11" i="13"/>
  <c r="AP9" i="13"/>
  <c r="AP7" i="13"/>
  <c r="AP12" i="13"/>
  <c r="AN8" i="13"/>
  <c r="AM7" i="13"/>
  <c r="AN7" i="13"/>
  <c r="AM10" i="13"/>
  <c r="AQ9" i="13"/>
  <c r="AQ12" i="13"/>
  <c r="AP8" i="13"/>
  <c r="AO11" i="13"/>
  <c r="AQ10" i="13"/>
  <c r="AR8" i="13"/>
  <c r="AQ7" i="13"/>
  <c r="AR9" i="13"/>
  <c r="AN9" i="13"/>
  <c r="AQ11" i="13"/>
  <c r="AP11" i="13"/>
  <c r="AI19" i="13" s="1"/>
  <c r="AM9" i="13"/>
  <c r="AM12" i="13"/>
  <c r="AG30" i="13"/>
  <c r="AI35" i="13"/>
  <c r="AH35" i="13"/>
  <c r="AG35" i="13"/>
  <c r="AH34" i="13"/>
  <c r="AJ34" i="13"/>
  <c r="AJ30" i="13"/>
  <c r="AI31" i="13"/>
  <c r="AG34" i="13"/>
  <c r="AG32" i="13"/>
  <c r="AI30" i="13"/>
  <c r="AH31" i="13"/>
  <c r="AH33" i="13"/>
  <c r="AG31" i="13"/>
  <c r="AG33" i="13"/>
  <c r="AH30" i="13"/>
  <c r="AJ32" i="13"/>
  <c r="AI33" i="13"/>
  <c r="AI32" i="13"/>
  <c r="AJ31" i="13"/>
  <c r="AH32" i="13"/>
  <c r="AI34" i="13"/>
  <c r="AJ35" i="13"/>
  <c r="AJ33" i="13"/>
  <c r="AJ15" i="13" l="1"/>
  <c r="AK19" i="13"/>
  <c r="AH20" i="13"/>
  <c r="AK16" i="13"/>
  <c r="AI18" i="13"/>
  <c r="AG20" i="13"/>
  <c r="AJ18" i="13"/>
  <c r="AG19" i="13"/>
  <c r="AH19" i="13"/>
  <c r="AF16" i="13"/>
  <c r="AI16" i="13"/>
  <c r="AH17" i="13"/>
  <c r="AJ20" i="13"/>
  <c r="AK20" i="13"/>
  <c r="AJ17" i="13"/>
  <c r="AK18" i="13"/>
  <c r="AF38" i="13" a="1"/>
  <c r="AF18" i="13"/>
  <c r="AH18" i="13"/>
  <c r="AF20" i="13"/>
  <c r="AG15" i="13"/>
  <c r="AH16" i="13"/>
  <c r="AF17" i="13"/>
  <c r="AF15" i="13"/>
  <c r="AG18" i="13"/>
  <c r="AG16" i="13"/>
  <c r="AH15" i="13"/>
  <c r="AJ19" i="13"/>
  <c r="AI20" i="13"/>
  <c r="AJ16" i="13"/>
  <c r="AG17" i="13"/>
  <c r="AI15" i="13"/>
  <c r="AK15" i="13"/>
  <c r="AK17" i="13"/>
  <c r="AI17" i="13"/>
  <c r="AF19" i="13"/>
  <c r="AM19" i="13" l="1"/>
  <c r="AR19" i="13" s="1"/>
  <c r="AC26" i="13" s="1"/>
  <c r="AM20" i="13"/>
  <c r="AM18" i="13"/>
  <c r="AI39" i="13"/>
  <c r="AN39" i="13" s="1"/>
  <c r="F28" i="14" s="1"/>
  <c r="AH41" i="13"/>
  <c r="AM41" i="13" s="1"/>
  <c r="E30" i="14" s="1"/>
  <c r="AG40" i="13"/>
  <c r="AL40" i="13" s="1"/>
  <c r="D29" i="14" s="1"/>
  <c r="AH38" i="13"/>
  <c r="AM38" i="13" s="1"/>
  <c r="E27" i="14" s="1"/>
  <c r="AI43" i="13"/>
  <c r="AN43" i="13" s="1"/>
  <c r="F32" i="14" s="1"/>
  <c r="AI41" i="13"/>
  <c r="AN41" i="13" s="1"/>
  <c r="F30" i="14" s="1"/>
  <c r="AG39" i="13"/>
  <c r="AL39" i="13" s="1"/>
  <c r="D28" i="14" s="1"/>
  <c r="AH40" i="13"/>
  <c r="AM40" i="13" s="1"/>
  <c r="E29" i="14" s="1"/>
  <c r="AF42" i="13"/>
  <c r="AK42" i="13" s="1"/>
  <c r="C31" i="14" s="1"/>
  <c r="AG42" i="13"/>
  <c r="AL42" i="13" s="1"/>
  <c r="D31" i="14" s="1"/>
  <c r="AG43" i="13"/>
  <c r="AL43" i="13" s="1"/>
  <c r="D32" i="14" s="1"/>
  <c r="AI40" i="13"/>
  <c r="AN40" i="13" s="1"/>
  <c r="F29" i="14" s="1"/>
  <c r="AI42" i="13"/>
  <c r="AN42" i="13" s="1"/>
  <c r="F31" i="14" s="1"/>
  <c r="AF43" i="13"/>
  <c r="AK43" i="13" s="1"/>
  <c r="C32" i="14" s="1"/>
  <c r="AG38" i="13"/>
  <c r="AL38" i="13" s="1"/>
  <c r="D27" i="14" s="1"/>
  <c r="AF41" i="13"/>
  <c r="AK41" i="13" s="1"/>
  <c r="C30" i="14" s="1"/>
  <c r="AH39" i="13"/>
  <c r="AM39" i="13" s="1"/>
  <c r="E28" i="14" s="1"/>
  <c r="AH43" i="13"/>
  <c r="AM43" i="13" s="1"/>
  <c r="E32" i="14" s="1"/>
  <c r="AG41" i="13"/>
  <c r="AL41" i="13" s="1"/>
  <c r="D30" i="14" s="1"/>
  <c r="AF39" i="13"/>
  <c r="AK39" i="13" s="1"/>
  <c r="C28" i="14" s="1"/>
  <c r="AI38" i="13"/>
  <c r="AN38" i="13" s="1"/>
  <c r="F27" i="14" s="1"/>
  <c r="AF38" i="13"/>
  <c r="AK38" i="13" s="1"/>
  <c r="C27" i="14" s="1"/>
  <c r="AF40" i="13"/>
  <c r="AK40" i="13" s="1"/>
  <c r="C29" i="14" s="1"/>
  <c r="AH42" i="13"/>
  <c r="AM42" i="13" s="1"/>
  <c r="E31" i="14" s="1"/>
  <c r="AM16" i="13"/>
  <c r="AM15" i="13"/>
  <c r="AM17" i="13"/>
  <c r="AS19" i="13" l="1"/>
  <c r="AD26" i="13" s="1"/>
  <c r="AO19" i="13"/>
  <c r="Z26" i="13" s="1"/>
  <c r="AP19" i="13"/>
  <c r="AA26" i="13" s="1"/>
  <c r="AT19" i="13"/>
  <c r="AE26" i="13" s="1"/>
  <c r="AQ19" i="13"/>
  <c r="AB26" i="13" s="1"/>
  <c r="AQ16" i="13"/>
  <c r="AB23" i="13" s="1"/>
  <c r="AS16" i="13"/>
  <c r="AD23" i="13" s="1"/>
  <c r="AO16" i="13"/>
  <c r="Z23" i="13" s="1"/>
  <c r="AT16" i="13"/>
  <c r="AE23" i="13" s="1"/>
  <c r="AR16" i="13"/>
  <c r="AC23" i="13" s="1"/>
  <c r="AP16" i="13"/>
  <c r="AA23" i="13" s="1"/>
  <c r="M27" i="14" a="1"/>
  <c r="AS17" i="13"/>
  <c r="AD24" i="13" s="1"/>
  <c r="AR17" i="13"/>
  <c r="AC24" i="13" s="1"/>
  <c r="AO17" i="13"/>
  <c r="Z24" i="13" s="1"/>
  <c r="AP17" i="13"/>
  <c r="AA24" i="13" s="1"/>
  <c r="AQ17" i="13"/>
  <c r="AB24" i="13" s="1"/>
  <c r="AT17" i="13"/>
  <c r="AE24" i="13" s="1"/>
  <c r="AS18" i="13"/>
  <c r="AD25" i="13" s="1"/>
  <c r="AT18" i="13"/>
  <c r="AE25" i="13" s="1"/>
  <c r="AO18" i="13"/>
  <c r="Z25" i="13" s="1"/>
  <c r="AP18" i="13"/>
  <c r="AA25" i="13" s="1"/>
  <c r="AQ18" i="13"/>
  <c r="AB25" i="13" s="1"/>
  <c r="AR18" i="13"/>
  <c r="AC25" i="13" s="1"/>
  <c r="AR20" i="13"/>
  <c r="AC27" i="13" s="1"/>
  <c r="AQ20" i="13"/>
  <c r="AB27" i="13" s="1"/>
  <c r="AP20" i="13"/>
  <c r="AA27" i="13" s="1"/>
  <c r="AO20" i="13"/>
  <c r="Z27" i="13" s="1"/>
  <c r="AS20" i="13"/>
  <c r="AD27" i="13" s="1"/>
  <c r="AT20" i="13"/>
  <c r="AE27" i="13" s="1"/>
  <c r="AS15" i="13"/>
  <c r="AD22" i="13" s="1"/>
  <c r="AO15" i="13"/>
  <c r="Z22" i="13" s="1"/>
  <c r="AR15" i="13"/>
  <c r="AC22" i="13" s="1"/>
  <c r="AT15" i="13"/>
  <c r="AE22" i="13" s="1"/>
  <c r="AQ15" i="13"/>
  <c r="AB22" i="13" s="1"/>
  <c r="AP15" i="13"/>
  <c r="AA22" i="13" s="1"/>
  <c r="Z30" i="13" l="1" a="1"/>
  <c r="Z38" i="13" a="1"/>
  <c r="O31" i="14"/>
  <c r="M31" i="14"/>
  <c r="N30" i="14"/>
  <c r="P30" i="14"/>
  <c r="O29" i="14"/>
  <c r="O30" i="14"/>
  <c r="M30" i="14"/>
  <c r="M29" i="14"/>
  <c r="P32" i="14"/>
  <c r="P28" i="14"/>
  <c r="N29" i="14"/>
  <c r="O28" i="14"/>
  <c r="P29" i="14"/>
  <c r="N28" i="14"/>
  <c r="N32" i="14"/>
  <c r="M28" i="14"/>
  <c r="O27" i="14"/>
  <c r="P27" i="14"/>
  <c r="M32" i="14"/>
  <c r="N31" i="14"/>
  <c r="N27" i="14"/>
  <c r="P31" i="14"/>
  <c r="M27" i="14"/>
  <c r="O32" i="14"/>
  <c r="AC41" i="13" l="1"/>
  <c r="AB40" i="13"/>
  <c r="AA38" i="13"/>
  <c r="AA40" i="13"/>
  <c r="AB43" i="13"/>
  <c r="Z40" i="13"/>
  <c r="AB39" i="13"/>
  <c r="AC43" i="13"/>
  <c r="AA43" i="13"/>
  <c r="AA42" i="13"/>
  <c r="AA39" i="13"/>
  <c r="AB41" i="13"/>
  <c r="Z43" i="13"/>
  <c r="AA41" i="13"/>
  <c r="Z39" i="13"/>
  <c r="AC39" i="13"/>
  <c r="AB42" i="13"/>
  <c r="Z38" i="13"/>
  <c r="AC42" i="13"/>
  <c r="AC38" i="13"/>
  <c r="Z42" i="13"/>
  <c r="Z41" i="13"/>
  <c r="AB38" i="13"/>
  <c r="AC40" i="13"/>
  <c r="AC34" i="13"/>
  <c r="AC35" i="13"/>
  <c r="AB33" i="13"/>
  <c r="AA34" i="13"/>
  <c r="Z30" i="13"/>
  <c r="Z34" i="13"/>
  <c r="AA33" i="13"/>
  <c r="Z32" i="13"/>
  <c r="AB35" i="13"/>
  <c r="AC33" i="13"/>
  <c r="AB31" i="13"/>
  <c r="Z33" i="13"/>
  <c r="AA35" i="13"/>
  <c r="AC32" i="13"/>
  <c r="AA31" i="13"/>
  <c r="AB32" i="13"/>
  <c r="Z35" i="13"/>
  <c r="AA32" i="13"/>
  <c r="Z31" i="13"/>
  <c r="AC31" i="13"/>
  <c r="AC30" i="13"/>
  <c r="AA30" i="13"/>
  <c r="AB34" i="13"/>
  <c r="AB30" i="13"/>
  <c r="AF56" i="13" l="1" a="1"/>
  <c r="AF48" i="13" a="1"/>
  <c r="AG51" i="13" l="1"/>
  <c r="AL51" i="13" s="1"/>
  <c r="D16" i="14" s="1"/>
  <c r="AI48" i="13"/>
  <c r="AN48" i="13" s="1"/>
  <c r="F13" i="14" s="1"/>
  <c r="AH50" i="13"/>
  <c r="AM50" i="13" s="1"/>
  <c r="E15" i="14" s="1"/>
  <c r="AG48" i="13"/>
  <c r="AL48" i="13" s="1"/>
  <c r="D13" i="14" s="1"/>
  <c r="AF50" i="13"/>
  <c r="AK50" i="13" s="1"/>
  <c r="C15" i="14" s="1"/>
  <c r="AH53" i="13"/>
  <c r="AM53" i="13" s="1"/>
  <c r="E18" i="14" s="1"/>
  <c r="AG50" i="13"/>
  <c r="AL50" i="13" s="1"/>
  <c r="D15" i="14" s="1"/>
  <c r="AF53" i="13"/>
  <c r="AK53" i="13" s="1"/>
  <c r="C18" i="14" s="1"/>
  <c r="AG52" i="13"/>
  <c r="AL52" i="13" s="1"/>
  <c r="D17" i="14" s="1"/>
  <c r="AI52" i="13"/>
  <c r="AN52" i="13" s="1"/>
  <c r="F17" i="14" s="1"/>
  <c r="AF52" i="13"/>
  <c r="AK52" i="13" s="1"/>
  <c r="C17" i="14" s="1"/>
  <c r="AH52" i="13"/>
  <c r="AM52" i="13" s="1"/>
  <c r="E17" i="14" s="1"/>
  <c r="AI51" i="13"/>
  <c r="AN51" i="13" s="1"/>
  <c r="F16" i="14" s="1"/>
  <c r="AG49" i="13"/>
  <c r="AL49" i="13" s="1"/>
  <c r="D14" i="14" s="1"/>
  <c r="AI49" i="13"/>
  <c r="AN49" i="13" s="1"/>
  <c r="F14" i="14" s="1"/>
  <c r="AH49" i="13"/>
  <c r="AM49" i="13" s="1"/>
  <c r="E14" i="14" s="1"/>
  <c r="AG53" i="13"/>
  <c r="AL53" i="13" s="1"/>
  <c r="D18" i="14" s="1"/>
  <c r="AF48" i="13"/>
  <c r="AK48" i="13" s="1"/>
  <c r="C13" i="14" s="1"/>
  <c r="AF51" i="13"/>
  <c r="AK51" i="13" s="1"/>
  <c r="C16" i="14" s="1"/>
  <c r="AH48" i="13"/>
  <c r="AM48" i="13" s="1"/>
  <c r="E13" i="14" s="1"/>
  <c r="AI50" i="13"/>
  <c r="AN50" i="13" s="1"/>
  <c r="F15" i="14" s="1"/>
  <c r="AI53" i="13"/>
  <c r="AN53" i="13" s="1"/>
  <c r="F18" i="14" s="1"/>
  <c r="AH51" i="13"/>
  <c r="AM51" i="13" s="1"/>
  <c r="E16" i="14" s="1"/>
  <c r="AF49" i="13"/>
  <c r="AK49" i="13" s="1"/>
  <c r="C14" i="14" s="1"/>
  <c r="AI60" i="13"/>
  <c r="AN60" i="13" s="1"/>
  <c r="F24" i="14" s="1"/>
  <c r="AG59" i="13"/>
  <c r="AL59" i="13" s="1"/>
  <c r="D23" i="14" s="1"/>
  <c r="AG56" i="13"/>
  <c r="AL56" i="13" s="1"/>
  <c r="D20" i="14" s="1"/>
  <c r="AH56" i="13"/>
  <c r="AM56" i="13" s="1"/>
  <c r="E20" i="14" s="1"/>
  <c r="AF57" i="13"/>
  <c r="AK57" i="13" s="1"/>
  <c r="C21" i="14" s="1"/>
  <c r="AI56" i="13"/>
  <c r="AN56" i="13" s="1"/>
  <c r="F20" i="14" s="1"/>
  <c r="AF61" i="13"/>
  <c r="AK61" i="13" s="1"/>
  <c r="C25" i="14" s="1"/>
  <c r="AH57" i="13"/>
  <c r="AM57" i="13" s="1"/>
  <c r="E21" i="14" s="1"/>
  <c r="AG61" i="13"/>
  <c r="AL61" i="13" s="1"/>
  <c r="D25" i="14" s="1"/>
  <c r="AI57" i="13"/>
  <c r="AN57" i="13" s="1"/>
  <c r="F21" i="14" s="1"/>
  <c r="AI61" i="13"/>
  <c r="AN61" i="13" s="1"/>
  <c r="F25" i="14" s="1"/>
  <c r="AF58" i="13"/>
  <c r="AK58" i="13" s="1"/>
  <c r="C22" i="14" s="1"/>
  <c r="AH59" i="13"/>
  <c r="AM59" i="13" s="1"/>
  <c r="E23" i="14" s="1"/>
  <c r="AI59" i="13"/>
  <c r="AN59" i="13" s="1"/>
  <c r="F23" i="14" s="1"/>
  <c r="AH60" i="13"/>
  <c r="AM60" i="13" s="1"/>
  <c r="E24" i="14" s="1"/>
  <c r="AF60" i="13"/>
  <c r="AK60" i="13" s="1"/>
  <c r="C24" i="14" s="1"/>
  <c r="AH61" i="13"/>
  <c r="AM61" i="13" s="1"/>
  <c r="E25" i="14" s="1"/>
  <c r="AG60" i="13"/>
  <c r="AL60" i="13" s="1"/>
  <c r="D24" i="14" s="1"/>
  <c r="AG57" i="13"/>
  <c r="AL57" i="13" s="1"/>
  <c r="D21" i="14" s="1"/>
  <c r="AH58" i="13"/>
  <c r="AM58" i="13" s="1"/>
  <c r="E22" i="14" s="1"/>
  <c r="AF56" i="13"/>
  <c r="AK56" i="13" s="1"/>
  <c r="C20" i="14" s="1"/>
  <c r="AG58" i="13"/>
  <c r="AL58" i="13" s="1"/>
  <c r="D22" i="14" s="1"/>
  <c r="AI58" i="13"/>
  <c r="AN58" i="13" s="1"/>
  <c r="F22" i="14" s="1"/>
  <c r="AF59" i="13"/>
  <c r="AK59" i="13" s="1"/>
  <c r="C23" i="14" s="1"/>
  <c r="M9" i="14" l="1" a="1"/>
  <c r="M18" i="14" a="1"/>
  <c r="N19" i="14" l="1"/>
  <c r="N18" i="14"/>
  <c r="M19" i="14"/>
  <c r="O22" i="14"/>
  <c r="O23" i="14"/>
  <c r="P22" i="14"/>
  <c r="P18" i="14"/>
  <c r="M23" i="14"/>
  <c r="N23" i="14"/>
  <c r="O18" i="14"/>
  <c r="N22" i="14"/>
  <c r="M22" i="14"/>
  <c r="N21" i="14"/>
  <c r="M18" i="14"/>
  <c r="O20" i="14"/>
  <c r="P21" i="14"/>
  <c r="P23" i="14"/>
  <c r="O21" i="14"/>
  <c r="M20" i="14"/>
  <c r="P19" i="14"/>
  <c r="O19" i="14"/>
  <c r="M21" i="14"/>
  <c r="N20" i="14"/>
  <c r="P20" i="14"/>
  <c r="M10" i="14"/>
  <c r="N12" i="14"/>
  <c r="M14" i="14"/>
  <c r="N11" i="14"/>
  <c r="O10" i="14"/>
  <c r="M11" i="14"/>
  <c r="N13" i="14"/>
  <c r="O9" i="14"/>
  <c r="P13" i="14"/>
  <c r="N9" i="14"/>
  <c r="N10" i="14"/>
  <c r="P14" i="14"/>
  <c r="O13" i="14"/>
  <c r="O14" i="14"/>
  <c r="P9" i="14"/>
  <c r="M13" i="14"/>
  <c r="M12" i="14"/>
  <c r="O11" i="14"/>
  <c r="P11" i="14"/>
  <c r="N14" i="14"/>
  <c r="P10" i="14"/>
  <c r="P12" i="14"/>
  <c r="O12" i="14"/>
  <c r="M9" i="14"/>
  <c r="R6" i="14" l="1" a="1"/>
  <c r="W11" i="14" l="1"/>
  <c r="W19" i="14" s="1"/>
  <c r="W26" i="14" s="1"/>
  <c r="V7" i="14"/>
  <c r="V15" i="14" s="1"/>
  <c r="V22" i="14" s="1"/>
  <c r="V10" i="14"/>
  <c r="V18" i="14" s="1"/>
  <c r="V25" i="14" s="1"/>
  <c r="S9" i="14"/>
  <c r="S17" i="14" s="1"/>
  <c r="S24" i="14" s="1"/>
  <c r="V11" i="14"/>
  <c r="V19" i="14" s="1"/>
  <c r="V26" i="14" s="1"/>
  <c r="W7" i="14"/>
  <c r="W15" i="14" s="1"/>
  <c r="W22" i="14" s="1"/>
  <c r="S6" i="14"/>
  <c r="S14" i="14" s="1"/>
  <c r="S21" i="14" s="1"/>
  <c r="U11" i="14"/>
  <c r="U19" i="14" s="1"/>
  <c r="U26" i="14" s="1"/>
  <c r="V8" i="14"/>
  <c r="V16" i="14" s="1"/>
  <c r="V23" i="14" s="1"/>
  <c r="V9" i="14"/>
  <c r="V17" i="14" s="1"/>
  <c r="V24" i="14" s="1"/>
  <c r="V6" i="14"/>
  <c r="V14" i="14" s="1"/>
  <c r="V21" i="14" s="1"/>
  <c r="R8" i="14"/>
  <c r="R16" i="14" s="1"/>
  <c r="R23" i="14" s="1"/>
  <c r="T10" i="14"/>
  <c r="T18" i="14" s="1"/>
  <c r="T25" i="14" s="1"/>
  <c r="T7" i="14"/>
  <c r="T15" i="14" s="1"/>
  <c r="T22" i="14" s="1"/>
  <c r="T11" i="14"/>
  <c r="T19" i="14" s="1"/>
  <c r="T26" i="14" s="1"/>
  <c r="W8" i="14"/>
  <c r="W16" i="14" s="1"/>
  <c r="W23" i="14" s="1"/>
  <c r="T8" i="14"/>
  <c r="T16" i="14" s="1"/>
  <c r="T23" i="14" s="1"/>
  <c r="W9" i="14"/>
  <c r="W17" i="14" s="1"/>
  <c r="W24" i="14" s="1"/>
  <c r="S7" i="14"/>
  <c r="S15" i="14" s="1"/>
  <c r="S22" i="14" s="1"/>
  <c r="W10" i="14"/>
  <c r="W18" i="14" s="1"/>
  <c r="W25" i="14" s="1"/>
  <c r="T6" i="14"/>
  <c r="T14" i="14" s="1"/>
  <c r="T21" i="14" s="1"/>
  <c r="R6" i="14"/>
  <c r="R14" i="14" s="1"/>
  <c r="R21" i="14" s="1"/>
  <c r="U8" i="14"/>
  <c r="U16" i="14" s="1"/>
  <c r="U23" i="14" s="1"/>
  <c r="R7" i="14"/>
  <c r="R15" i="14" s="1"/>
  <c r="R22" i="14" s="1"/>
  <c r="S8" i="14"/>
  <c r="S16" i="14" s="1"/>
  <c r="S23" i="14" s="1"/>
  <c r="U7" i="14"/>
  <c r="U15" i="14" s="1"/>
  <c r="U22" i="14" s="1"/>
  <c r="R10" i="14"/>
  <c r="R18" i="14" s="1"/>
  <c r="R25" i="14" s="1"/>
  <c r="U9" i="14"/>
  <c r="U17" i="14" s="1"/>
  <c r="U24" i="14" s="1"/>
  <c r="R9" i="14"/>
  <c r="R17" i="14" s="1"/>
  <c r="R24" i="14" s="1"/>
  <c r="U10" i="14"/>
  <c r="U18" i="14" s="1"/>
  <c r="U25" i="14" s="1"/>
  <c r="U6" i="14"/>
  <c r="U14" i="14" s="1"/>
  <c r="U21" i="14" s="1"/>
  <c r="R11" i="14"/>
  <c r="R19" i="14" s="1"/>
  <c r="R26" i="14" s="1"/>
  <c r="T9" i="14"/>
  <c r="T17" i="14" s="1"/>
  <c r="T24" i="14" s="1"/>
  <c r="S11" i="14"/>
  <c r="S19" i="14" s="1"/>
  <c r="S26" i="14" s="1"/>
  <c r="W6" i="14"/>
  <c r="W14" i="14" s="1"/>
  <c r="W21" i="14" s="1"/>
  <c r="S10" i="14"/>
  <c r="S18" i="14" s="1"/>
  <c r="S25" i="14" s="1"/>
  <c r="V29" i="14" l="1"/>
  <c r="U32" i="14"/>
  <c r="T30" i="14"/>
  <c r="R31" i="14"/>
  <c r="U34" i="14"/>
  <c r="S31" i="14"/>
  <c r="R33" i="14"/>
  <c r="T33" i="14"/>
  <c r="U30" i="14"/>
  <c r="R30" i="14"/>
  <c r="U31" i="14"/>
  <c r="S33" i="14"/>
  <c r="R29" i="14"/>
  <c r="W29" i="14"/>
  <c r="T29" i="14"/>
  <c r="S29" i="14"/>
  <c r="S34" i="14"/>
  <c r="W33" i="14"/>
  <c r="W30" i="14"/>
  <c r="T32" i="14"/>
  <c r="S30" i="14"/>
  <c r="V34" i="14"/>
  <c r="R34" i="14"/>
  <c r="W32" i="14"/>
  <c r="S32" i="14"/>
  <c r="U29" i="14"/>
  <c r="T31" i="14"/>
  <c r="V33" i="14"/>
  <c r="V32" i="14"/>
  <c r="V31" i="14"/>
  <c r="U33" i="14"/>
  <c r="W31" i="14"/>
  <c r="V30" i="14"/>
  <c r="R32" i="14"/>
  <c r="T34" i="14"/>
  <c r="W34" i="14"/>
  <c r="Z6" i="14" l="1" a="1"/>
  <c r="Z9" i="14" l="1"/>
  <c r="Z7" i="14"/>
  <c r="AC7" i="14"/>
  <c r="Z10" i="14"/>
  <c r="AA9" i="14"/>
  <c r="AA10" i="14"/>
  <c r="AC10" i="14"/>
  <c r="AB9" i="14"/>
  <c r="AB8" i="14"/>
  <c r="AB10" i="14"/>
  <c r="AC8" i="14"/>
  <c r="Z11" i="14"/>
  <c r="AA11" i="14"/>
  <c r="AA6" i="14"/>
  <c r="AA8" i="14"/>
  <c r="AC11" i="14"/>
  <c r="AB11" i="14"/>
  <c r="AB6" i="14"/>
  <c r="AC6" i="14"/>
  <c r="AB7" i="14"/>
  <c r="AA7" i="14"/>
  <c r="Z8" i="14"/>
  <c r="Z6" i="14"/>
  <c r="AC9" i="14"/>
  <c r="AE7" i="14" l="1"/>
  <c r="AI7" i="14" s="1"/>
  <c r="AE9" i="14"/>
  <c r="AI9" i="14" s="1"/>
  <c r="AE11" i="14"/>
  <c r="AE6" i="14"/>
  <c r="AE8" i="14"/>
  <c r="AE10" i="14"/>
  <c r="AG9" i="14" l="1"/>
  <c r="Z18" i="14" s="1"/>
  <c r="AA18" i="14" s="1"/>
  <c r="AB18" i="14" s="1"/>
  <c r="AC18" i="14" s="1"/>
  <c r="AG7" i="14"/>
  <c r="Z16" i="14" s="1"/>
  <c r="AA16" i="14" s="1"/>
  <c r="AB16" i="14" s="1"/>
  <c r="AC16" i="14" s="1"/>
  <c r="AI10" i="14"/>
  <c r="AG10" i="14"/>
  <c r="Z19" i="14" s="1"/>
  <c r="AA19" i="14" s="1"/>
  <c r="AB19" i="14" s="1"/>
  <c r="AC19" i="14" s="1"/>
  <c r="AI8" i="14"/>
  <c r="AG8" i="14"/>
  <c r="Z17" i="14" s="1"/>
  <c r="AA17" i="14" s="1"/>
  <c r="AB17" i="14" s="1"/>
  <c r="AC17" i="14" s="1"/>
  <c r="AI6" i="14"/>
  <c r="AG6" i="14"/>
  <c r="Z15" i="14" s="1"/>
  <c r="AI11" i="14"/>
  <c r="AG11" i="14"/>
  <c r="Z20" i="14" s="1"/>
  <c r="AA20" i="14" s="1"/>
  <c r="AB20" i="14" s="1"/>
  <c r="AC20" i="14" s="1"/>
  <c r="AA15" i="14" l="1"/>
  <c r="AB15" i="14" s="1"/>
  <c r="AC15" i="14" s="1"/>
  <c r="AI12" i="14"/>
  <c r="AM7" i="14" l="1" a="1"/>
  <c r="AN9" i="14" s="1"/>
  <c r="AG30" i="14" a="1"/>
  <c r="AJ31" i="14" s="1"/>
  <c r="AR12" i="14" l="1"/>
  <c r="AK20" i="14" s="1"/>
  <c r="AR8" i="14"/>
  <c r="AK16" i="14" s="1"/>
  <c r="AM11" i="14"/>
  <c r="AF19" i="14" s="1"/>
  <c r="AO8" i="14"/>
  <c r="AH16" i="14" s="1"/>
  <c r="AP10" i="14"/>
  <c r="AI18" i="14" s="1"/>
  <c r="AN10" i="14"/>
  <c r="AG18" i="14" s="1"/>
  <c r="AO9" i="14"/>
  <c r="AH17" i="14" s="1"/>
  <c r="AP11" i="14"/>
  <c r="AI19" i="14" s="1"/>
  <c r="AM8" i="14"/>
  <c r="AF16" i="14" s="1"/>
  <c r="AR9" i="14"/>
  <c r="AK17" i="14" s="1"/>
  <c r="AM10" i="14"/>
  <c r="AO7" i="14"/>
  <c r="AH15" i="14" s="1"/>
  <c r="AQ8" i="14"/>
  <c r="AJ16" i="14" s="1"/>
  <c r="AP8" i="14"/>
  <c r="AI16" i="14" s="1"/>
  <c r="AQ11" i="14"/>
  <c r="AJ19" i="14" s="1"/>
  <c r="AN8" i="14"/>
  <c r="AG16" i="14" s="1"/>
  <c r="AO10" i="14"/>
  <c r="AH18" i="14" s="1"/>
  <c r="AQ7" i="14"/>
  <c r="AJ15" i="14" s="1"/>
  <c r="AM9" i="14"/>
  <c r="AF17" i="14" s="1"/>
  <c r="AQ9" i="14"/>
  <c r="AJ17" i="14" s="1"/>
  <c r="AN12" i="14"/>
  <c r="AG20" i="14" s="1"/>
  <c r="AN7" i="14"/>
  <c r="AP7" i="14"/>
  <c r="AI15" i="14" s="1"/>
  <c r="AR7" i="14"/>
  <c r="AK15" i="14" s="1"/>
  <c r="AO12" i="14"/>
  <c r="AH20" i="14" s="1"/>
  <c r="AN11" i="14"/>
  <c r="AG19" i="14" s="1"/>
  <c r="AP9" i="14"/>
  <c r="AO11" i="14"/>
  <c r="AH19" i="14" s="1"/>
  <c r="AQ12" i="14"/>
  <c r="AJ20" i="14" s="1"/>
  <c r="AM7" i="14"/>
  <c r="AF15" i="14" s="1"/>
  <c r="AR10" i="14"/>
  <c r="AK18" i="14" s="1"/>
  <c r="AP12" i="14"/>
  <c r="AI20" i="14" s="1"/>
  <c r="AR11" i="14"/>
  <c r="AK19" i="14" s="1"/>
  <c r="AM12" i="14"/>
  <c r="AF20" i="14" s="1"/>
  <c r="AQ10" i="14"/>
  <c r="AJ18" i="14" s="1"/>
  <c r="AJ30" i="14"/>
  <c r="AH34" i="14"/>
  <c r="AI30" i="14"/>
  <c r="AG33" i="14"/>
  <c r="AI34" i="14"/>
  <c r="AJ35" i="14"/>
  <c r="AH35" i="14"/>
  <c r="AJ33" i="14"/>
  <c r="AG32" i="14"/>
  <c r="AJ32" i="14"/>
  <c r="AG30" i="14"/>
  <c r="AH30" i="14"/>
  <c r="AI31" i="14"/>
  <c r="AI32" i="14"/>
  <c r="AG35" i="14"/>
  <c r="AH33" i="14"/>
  <c r="AH31" i="14"/>
  <c r="AI35" i="14"/>
  <c r="AG34" i="14"/>
  <c r="AH32" i="14"/>
  <c r="AG31" i="14"/>
  <c r="AI33" i="14"/>
  <c r="AJ34" i="14"/>
  <c r="AI17" i="14"/>
  <c r="AG17" i="14"/>
  <c r="AF18" i="14"/>
  <c r="AG15" i="14"/>
  <c r="AF38" i="14" l="1" a="1"/>
  <c r="AI41" i="14" s="1"/>
  <c r="AN41" i="14" s="1"/>
  <c r="F30" i="7" s="1"/>
  <c r="AM19" i="14"/>
  <c r="AT19" i="14" s="1"/>
  <c r="AE26" i="14" s="1"/>
  <c r="AM18" i="14"/>
  <c r="AM16" i="14"/>
  <c r="AM17" i="14"/>
  <c r="AM20" i="14"/>
  <c r="AM15" i="14"/>
  <c r="AF40" i="14" l="1"/>
  <c r="AK40" i="14" s="1"/>
  <c r="C29" i="7" s="1"/>
  <c r="AI38" i="14"/>
  <c r="AN38" i="14" s="1"/>
  <c r="F27" i="7" s="1"/>
  <c r="AH43" i="14"/>
  <c r="AM43" i="14" s="1"/>
  <c r="E32" i="7" s="1"/>
  <c r="AH39" i="14"/>
  <c r="AM39" i="14" s="1"/>
  <c r="E28" i="7" s="1"/>
  <c r="AI39" i="14"/>
  <c r="AN39" i="14" s="1"/>
  <c r="F28" i="7" s="1"/>
  <c r="AH40" i="14"/>
  <c r="AM40" i="14" s="1"/>
  <c r="E29" i="7" s="1"/>
  <c r="AH41" i="14"/>
  <c r="AM41" i="14" s="1"/>
  <c r="E30" i="7" s="1"/>
  <c r="AG41" i="14"/>
  <c r="AL41" i="14" s="1"/>
  <c r="D30" i="7" s="1"/>
  <c r="AF42" i="14"/>
  <c r="AK42" i="14" s="1"/>
  <c r="C31" i="7" s="1"/>
  <c r="AI42" i="14"/>
  <c r="AN42" i="14" s="1"/>
  <c r="F31" i="7" s="1"/>
  <c r="AG39" i="14"/>
  <c r="AL39" i="14" s="1"/>
  <c r="D28" i="7" s="1"/>
  <c r="AF43" i="14"/>
  <c r="AK43" i="14" s="1"/>
  <c r="C32" i="7" s="1"/>
  <c r="AF41" i="14"/>
  <c r="AK41" i="14" s="1"/>
  <c r="C30" i="7" s="1"/>
  <c r="AG43" i="14"/>
  <c r="AL43" i="14" s="1"/>
  <c r="D32" i="7" s="1"/>
  <c r="AF38" i="14"/>
  <c r="AK38" i="14" s="1"/>
  <c r="C27" i="7" s="1"/>
  <c r="AG42" i="14"/>
  <c r="AL42" i="14" s="1"/>
  <c r="D31" i="7" s="1"/>
  <c r="AH38" i="14"/>
  <c r="AM38" i="14" s="1"/>
  <c r="E27" i="7" s="1"/>
  <c r="AG40" i="14"/>
  <c r="AL40" i="14" s="1"/>
  <c r="D29" i="7" s="1"/>
  <c r="AG38" i="14"/>
  <c r="AL38" i="14" s="1"/>
  <c r="D27" i="7" s="1"/>
  <c r="AF39" i="14"/>
  <c r="AK39" i="14" s="1"/>
  <c r="C28" i="7" s="1"/>
  <c r="AI40" i="14"/>
  <c r="AN40" i="14" s="1"/>
  <c r="F29" i="7" s="1"/>
  <c r="AI43" i="14"/>
  <c r="AN43" i="14" s="1"/>
  <c r="F32" i="7" s="1"/>
  <c r="AH42" i="14"/>
  <c r="AM42" i="14" s="1"/>
  <c r="E31" i="7" s="1"/>
  <c r="AO19" i="14"/>
  <c r="Z26" i="14" s="1"/>
  <c r="AS19" i="14"/>
  <c r="AD26" i="14" s="1"/>
  <c r="AP19" i="14"/>
  <c r="AA26" i="14" s="1"/>
  <c r="AR19" i="14"/>
  <c r="AC26" i="14" s="1"/>
  <c r="AQ19" i="14"/>
  <c r="AB26" i="14" s="1"/>
  <c r="AQ17" i="14"/>
  <c r="AB24" i="14" s="1"/>
  <c r="AT17" i="14"/>
  <c r="AE24" i="14" s="1"/>
  <c r="AS17" i="14"/>
  <c r="AD24" i="14" s="1"/>
  <c r="AP17" i="14"/>
  <c r="AA24" i="14" s="1"/>
  <c r="AO17" i="14"/>
  <c r="Z24" i="14" s="1"/>
  <c r="AR17" i="14"/>
  <c r="AC24" i="14" s="1"/>
  <c r="AQ16" i="14"/>
  <c r="AB23" i="14" s="1"/>
  <c r="AR16" i="14"/>
  <c r="AC23" i="14" s="1"/>
  <c r="AS16" i="14"/>
  <c r="AD23" i="14" s="1"/>
  <c r="AO16" i="14"/>
  <c r="Z23" i="14" s="1"/>
  <c r="AP16" i="14"/>
  <c r="AA23" i="14" s="1"/>
  <c r="AT16" i="14"/>
  <c r="AE23" i="14" s="1"/>
  <c r="AT15" i="14"/>
  <c r="AE22" i="14" s="1"/>
  <c r="AQ15" i="14"/>
  <c r="AB22" i="14" s="1"/>
  <c r="AR15" i="14"/>
  <c r="AC22" i="14" s="1"/>
  <c r="AP15" i="14"/>
  <c r="AA22" i="14" s="1"/>
  <c r="AO15" i="14"/>
  <c r="Z22" i="14" s="1"/>
  <c r="AS15" i="14"/>
  <c r="AD22" i="14" s="1"/>
  <c r="AS18" i="14"/>
  <c r="AD25" i="14" s="1"/>
  <c r="AT18" i="14"/>
  <c r="AE25" i="14" s="1"/>
  <c r="AP18" i="14"/>
  <c r="AA25" i="14" s="1"/>
  <c r="AR18" i="14"/>
  <c r="AC25" i="14" s="1"/>
  <c r="AO18" i="14"/>
  <c r="Z25" i="14" s="1"/>
  <c r="AQ18" i="14"/>
  <c r="AB25" i="14" s="1"/>
  <c r="AQ20" i="14"/>
  <c r="AB27" i="14" s="1"/>
  <c r="AT20" i="14"/>
  <c r="AE27" i="14" s="1"/>
  <c r="AO20" i="14"/>
  <c r="Z27" i="14" s="1"/>
  <c r="AR20" i="14"/>
  <c r="AC27" i="14" s="1"/>
  <c r="AS20" i="14"/>
  <c r="AD27" i="14" s="1"/>
  <c r="AP20" i="14"/>
  <c r="AA27" i="14" s="1"/>
  <c r="M27" i="7" l="1" a="1"/>
  <c r="O28" i="7" s="1"/>
  <c r="Z38" i="14" a="1"/>
  <c r="Z30" i="14" a="1"/>
  <c r="O27" i="7" l="1"/>
  <c r="M27" i="7"/>
  <c r="P28" i="7"/>
  <c r="P27" i="7"/>
  <c r="N28" i="7"/>
  <c r="N27" i="7"/>
  <c r="M28" i="7"/>
  <c r="AB32" i="14"/>
  <c r="AC30" i="14"/>
  <c r="Z33" i="14"/>
  <c r="AB30" i="14"/>
  <c r="Z32" i="14"/>
  <c r="AA30" i="14"/>
  <c r="AC31" i="14"/>
  <c r="AC35" i="14"/>
  <c r="AB31" i="14"/>
  <c r="AB35" i="14"/>
  <c r="AA31" i="14"/>
  <c r="AA35" i="14"/>
  <c r="AB34" i="14"/>
  <c r="Z35" i="14"/>
  <c r="AC34" i="14"/>
  <c r="AA34" i="14"/>
  <c r="AB33" i="14"/>
  <c r="Z34" i="14"/>
  <c r="Z30" i="14"/>
  <c r="AC33" i="14"/>
  <c r="AC32" i="14"/>
  <c r="AA32" i="14"/>
  <c r="AA33" i="14"/>
  <c r="Z31" i="14"/>
  <c r="Z42" i="14"/>
  <c r="AB43" i="14"/>
  <c r="AB38" i="14"/>
  <c r="Z43" i="14"/>
  <c r="AA41" i="14"/>
  <c r="AC42" i="14"/>
  <c r="AC41" i="14"/>
  <c r="AB42" i="14"/>
  <c r="AA38" i="14"/>
  <c r="AA42" i="14"/>
  <c r="AB41" i="14"/>
  <c r="AC39" i="14"/>
  <c r="Z38" i="14"/>
  <c r="AB39" i="14"/>
  <c r="Z41" i="14"/>
  <c r="AA39" i="14"/>
  <c r="AC40" i="14"/>
  <c r="Z39" i="14"/>
  <c r="AB40" i="14"/>
  <c r="AC38" i="14"/>
  <c r="AA40" i="14"/>
  <c r="Z40" i="14"/>
  <c r="AA43" i="14"/>
  <c r="AC43" i="14"/>
  <c r="AF48" i="14" l="1" a="1"/>
  <c r="AF56" i="14" a="1"/>
  <c r="AF60" i="14" l="1"/>
  <c r="AK60" i="14" s="1"/>
  <c r="C24" i="7" s="1"/>
  <c r="AF56" i="14"/>
  <c r="AK56" i="14" s="1"/>
  <c r="C20" i="7" s="1"/>
  <c r="AI59" i="14"/>
  <c r="AN59" i="14" s="1"/>
  <c r="F23" i="7" s="1"/>
  <c r="AI61" i="14"/>
  <c r="AN61" i="14" s="1"/>
  <c r="F25" i="7" s="1"/>
  <c r="AG60" i="14"/>
  <c r="AL60" i="14" s="1"/>
  <c r="D24" i="7" s="1"/>
  <c r="AG59" i="14"/>
  <c r="AL59" i="14" s="1"/>
  <c r="D23" i="7" s="1"/>
  <c r="AI56" i="14"/>
  <c r="AN56" i="14" s="1"/>
  <c r="F20" i="7" s="1"/>
  <c r="AF59" i="14"/>
  <c r="AK59" i="14" s="1"/>
  <c r="C23" i="7" s="1"/>
  <c r="AH56" i="14"/>
  <c r="AM56" i="14" s="1"/>
  <c r="E20" i="7" s="1"/>
  <c r="AI58" i="14"/>
  <c r="AN58" i="14" s="1"/>
  <c r="F22" i="7" s="1"/>
  <c r="AG56" i="14"/>
  <c r="AL56" i="14" s="1"/>
  <c r="D20" i="7" s="1"/>
  <c r="AH58" i="14"/>
  <c r="AM58" i="14" s="1"/>
  <c r="E22" i="7" s="1"/>
  <c r="AH61" i="14"/>
  <c r="AM61" i="14" s="1"/>
  <c r="E25" i="7" s="1"/>
  <c r="AF61" i="14"/>
  <c r="AK61" i="14" s="1"/>
  <c r="C25" i="7" s="1"/>
  <c r="AH59" i="14"/>
  <c r="AM59" i="14" s="1"/>
  <c r="E23" i="7" s="1"/>
  <c r="AG61" i="14"/>
  <c r="AL61" i="14" s="1"/>
  <c r="D25" i="7" s="1"/>
  <c r="AI60" i="14"/>
  <c r="AN60" i="14" s="1"/>
  <c r="F24" i="7" s="1"/>
  <c r="AF58" i="14"/>
  <c r="AK58" i="14" s="1"/>
  <c r="C22" i="7" s="1"/>
  <c r="AG57" i="14"/>
  <c r="AL57" i="14" s="1"/>
  <c r="D21" i="7" s="1"/>
  <c r="AG58" i="14"/>
  <c r="AL58" i="14" s="1"/>
  <c r="D22" i="7" s="1"/>
  <c r="AH60" i="14"/>
  <c r="AM60" i="14" s="1"/>
  <c r="E24" i="7" s="1"/>
  <c r="AI57" i="14"/>
  <c r="AN57" i="14" s="1"/>
  <c r="F21" i="7" s="1"/>
  <c r="AF57" i="14"/>
  <c r="AK57" i="14" s="1"/>
  <c r="C21" i="7" s="1"/>
  <c r="AH57" i="14"/>
  <c r="AM57" i="14" s="1"/>
  <c r="E21" i="7" s="1"/>
  <c r="AF51" i="14"/>
  <c r="AK51" i="14" s="1"/>
  <c r="C16" i="7" s="1"/>
  <c r="AI52" i="14"/>
  <c r="AN52" i="14" s="1"/>
  <c r="F17" i="7" s="1"/>
  <c r="AH53" i="14"/>
  <c r="AM53" i="14" s="1"/>
  <c r="E18" i="7" s="1"/>
  <c r="AH52" i="14"/>
  <c r="AM52" i="14" s="1"/>
  <c r="E17" i="7" s="1"/>
  <c r="AH49" i="14"/>
  <c r="AM49" i="14" s="1"/>
  <c r="E14" i="7" s="1"/>
  <c r="AG49" i="14"/>
  <c r="AL49" i="14" s="1"/>
  <c r="D14" i="7" s="1"/>
  <c r="AG53" i="14"/>
  <c r="AL53" i="14" s="1"/>
  <c r="D18" i="7" s="1"/>
  <c r="AF53" i="14"/>
  <c r="AK53" i="14" s="1"/>
  <c r="C18" i="7" s="1"/>
  <c r="AG48" i="14"/>
  <c r="AL48" i="14" s="1"/>
  <c r="D13" i="7" s="1"/>
  <c r="AI50" i="14"/>
  <c r="AN50" i="14" s="1"/>
  <c r="F15" i="7" s="1"/>
  <c r="AG52" i="14"/>
  <c r="AL52" i="14" s="1"/>
  <c r="D17" i="7" s="1"/>
  <c r="AH50" i="14"/>
  <c r="AM50" i="14" s="1"/>
  <c r="E15" i="7" s="1"/>
  <c r="AF52" i="14"/>
  <c r="AK52" i="14" s="1"/>
  <c r="C17" i="7" s="1"/>
  <c r="AI53" i="14"/>
  <c r="AN53" i="14" s="1"/>
  <c r="F18" i="7" s="1"/>
  <c r="AI51" i="14"/>
  <c r="AN51" i="14" s="1"/>
  <c r="F16" i="7" s="1"/>
  <c r="AG50" i="14"/>
  <c r="AL50" i="14" s="1"/>
  <c r="D15" i="7" s="1"/>
  <c r="AG51" i="14"/>
  <c r="AL51" i="14" s="1"/>
  <c r="D16" i="7" s="1"/>
  <c r="AF50" i="14"/>
  <c r="AK50" i="14" s="1"/>
  <c r="C15" i="7" s="1"/>
  <c r="AI49" i="14"/>
  <c r="AN49" i="14" s="1"/>
  <c r="F14" i="7" s="1"/>
  <c r="AF49" i="14"/>
  <c r="AK49" i="14" s="1"/>
  <c r="C14" i="7" s="1"/>
  <c r="AI48" i="14"/>
  <c r="AN48" i="14" s="1"/>
  <c r="F13" i="7" s="1"/>
  <c r="AF48" i="14"/>
  <c r="AK48" i="14" s="1"/>
  <c r="C13" i="7" s="1"/>
  <c r="AH48" i="14"/>
  <c r="AM48" i="14" s="1"/>
  <c r="E13" i="7" s="1"/>
  <c r="AH51" i="14"/>
  <c r="AM51" i="14" s="1"/>
  <c r="E16" i="7" s="1"/>
  <c r="M9" i="7" l="1" a="1"/>
  <c r="M18" i="7" a="1"/>
  <c r="N19" i="7" l="1"/>
  <c r="O19" i="7"/>
  <c r="M19" i="7"/>
  <c r="P18" i="7"/>
  <c r="O18" i="7"/>
  <c r="P19" i="7"/>
  <c r="N18" i="7"/>
  <c r="M18" i="7"/>
  <c r="O10" i="7"/>
  <c r="N9" i="7"/>
  <c r="N10" i="7"/>
  <c r="M9" i="7"/>
  <c r="P9" i="7"/>
  <c r="P10" i="7"/>
  <c r="O9" i="7"/>
  <c r="M10" i="7"/>
  <c r="R6" i="7" l="1" a="1"/>
  <c r="S6" i="7" l="1"/>
  <c r="S14" i="7" s="1"/>
  <c r="S21" i="7" s="1"/>
  <c r="R6" i="7"/>
  <c r="R14" i="7" s="1"/>
  <c r="R21" i="7" s="1"/>
  <c r="S7" i="7"/>
  <c r="S15" i="7" s="1"/>
  <c r="S22" i="7" s="1"/>
  <c r="R7" i="7"/>
  <c r="R15" i="7" s="1"/>
  <c r="R22" i="7" s="1"/>
  <c r="R30" i="7" l="1"/>
  <c r="R29" i="7"/>
  <c r="S30" i="7"/>
  <c r="S29" i="7"/>
  <c r="Z6" i="7" l="1" a="1"/>
  <c r="AB6" i="7" s="1"/>
  <c r="AC7" i="7" l="1"/>
  <c r="AA7" i="7"/>
  <c r="Z7" i="7"/>
  <c r="AE7" i="7" s="1"/>
  <c r="AI7" i="7" s="1"/>
  <c r="Z6" i="7"/>
  <c r="AE6" i="7" s="1"/>
  <c r="AG6" i="7" s="1"/>
  <c r="AB7" i="7"/>
  <c r="AA6" i="7"/>
  <c r="AC6" i="7"/>
  <c r="AG7" i="7" l="1"/>
  <c r="AI6" i="7"/>
  <c r="AI12" i="7" s="1"/>
</calcChain>
</file>

<file path=xl/sharedStrings.xml><?xml version="1.0" encoding="utf-8"?>
<sst xmlns="http://schemas.openxmlformats.org/spreadsheetml/2006/main" count="687" uniqueCount="210">
  <si>
    <t>Input</t>
  </si>
  <si>
    <t>X_train:</t>
  </si>
  <si>
    <t>Query</t>
  </si>
  <si>
    <t>Key</t>
  </si>
  <si>
    <t>Value</t>
  </si>
  <si>
    <t>Attention Scores:</t>
  </si>
  <si>
    <t>Softmax Attention Probabilities:</t>
  </si>
  <si>
    <t>Y_train</t>
  </si>
  <si>
    <t>W_K</t>
  </si>
  <si>
    <t>Matrix:</t>
  </si>
  <si>
    <t>W_V</t>
  </si>
  <si>
    <t>Z Matrix (Output of Attention):</t>
  </si>
  <si>
    <t>Gradients dL/dV:</t>
  </si>
  <si>
    <t>Gradients dL/dQ:</t>
  </si>
  <si>
    <t>Gradients dL/dK:</t>
  </si>
  <si>
    <t>np.dot(X_train.T, dL_dQ)</t>
  </si>
  <si>
    <t>np.dot(X_train.T, dL_dV)</t>
  </si>
  <si>
    <t>np.dot(X_train.T, dL_dK)</t>
  </si>
  <si>
    <t>Updated W_Q:</t>
  </si>
  <si>
    <t>Updated W_V:</t>
  </si>
  <si>
    <t>Updated W_K:</t>
  </si>
  <si>
    <t>Binary Cross-Entropy Loss</t>
  </si>
  <si>
    <t>Y_Pred</t>
  </si>
  <si>
    <t>Transaction</t>
  </si>
  <si>
    <t>1</t>
  </si>
  <si>
    <t>2</t>
  </si>
  <si>
    <t>3</t>
  </si>
  <si>
    <t>4</t>
  </si>
  <si>
    <t>5</t>
  </si>
  <si>
    <t>6</t>
  </si>
  <si>
    <t>Feature</t>
  </si>
  <si>
    <t>Encoding</t>
  </si>
  <si>
    <t>Amount (USD)</t>
  </si>
  <si>
    <t>Time</t>
  </si>
  <si>
    <t>1 = Late Night (12 AM - 6 AM), 2 = Morning (6 AM - 12 PM), 3 = Afternoon (12 PM - 6 PM), 4 = Evening (6 PM - 12 AM)</t>
  </si>
  <si>
    <t>Late Night (1 AM)</t>
  </si>
  <si>
    <t>Afternoon (3 PM)</t>
  </si>
  <si>
    <t>Morning (10 AM)</t>
  </si>
  <si>
    <t>Evening (9 PM)</t>
  </si>
  <si>
    <t>Merchant Type</t>
  </si>
  <si>
    <t>3 = High-Risk (Luxury, Jewelry), 2 = Medium-Risk (Electronics, Pharmacy), 1 = Low-Risk (Grocery, Fast Food)</t>
  </si>
  <si>
    <t>Luxury</t>
  </si>
  <si>
    <t>Grocery</t>
  </si>
  <si>
    <t>Frequency</t>
  </si>
  <si>
    <t>High (Many txns in short time) = 1, Low (few txns over days) = 0.2, Medium = 0.6</t>
  </si>
  <si>
    <t>Frequent</t>
  </si>
  <si>
    <t>Rare</t>
  </si>
  <si>
    <t>Very Frequent</t>
  </si>
  <si>
    <t>Occasional</t>
  </si>
  <si>
    <t>Location</t>
  </si>
  <si>
    <t>USA = 0, Foreign (Russia, UK) = 1</t>
  </si>
  <si>
    <t>Foreign</t>
  </si>
  <si>
    <t>Domestic</t>
  </si>
  <si>
    <t>Device Used</t>
  </si>
  <si>
    <t>New Device = 1, Same Device = 0</t>
  </si>
  <si>
    <t>New Device</t>
  </si>
  <si>
    <t>Same Device</t>
  </si>
  <si>
    <t>Fraud Label</t>
  </si>
  <si>
    <t>Normalized Amount</t>
  </si>
  <si>
    <t>Time Encoding</t>
  </si>
  <si>
    <t>Merchant Encoding</t>
  </si>
  <si>
    <t>Frequency Encoding</t>
  </si>
  <si>
    <t>Location Encoding</t>
  </si>
  <si>
    <t>Device Encoding</t>
  </si>
  <si>
    <t>Query (Q) Matrix (6×4)</t>
  </si>
  <si>
    <t>Q1</t>
  </si>
  <si>
    <t>Q2</t>
  </si>
  <si>
    <t>Q3</t>
  </si>
  <si>
    <t>Q4</t>
  </si>
  <si>
    <t>Amount</t>
  </si>
  <si>
    <t>Merchant</t>
  </si>
  <si>
    <t>Key (K) Matrix (6×4)</t>
  </si>
  <si>
    <t>K1</t>
  </si>
  <si>
    <t>K2</t>
  </si>
  <si>
    <t>K3</t>
  </si>
  <si>
    <t>K4</t>
  </si>
  <si>
    <t>Value (V) Matrix (6×4)</t>
  </si>
  <si>
    <t>V1</t>
  </si>
  <si>
    <t>V2</t>
  </si>
  <si>
    <t>V3</t>
  </si>
  <si>
    <t>V4</t>
  </si>
  <si>
    <t xml:space="preserve"> # 3. Compute gradient of loss w.r.t attention scores (dL/dA) with softmax derivative</t>
  </si>
  <si>
    <t>#2. Compute gradient of loss w.r.t attention_weights (dL/dP)</t>
  </si>
  <si>
    <t># 1. Compute gradient of loss w.r.t attention_output (dL/dZ)</t>
  </si>
  <si>
    <t>Data</t>
  </si>
  <si>
    <t>Embedding</t>
  </si>
  <si>
    <t>Value matrix</t>
  </si>
  <si>
    <t>Key matrix</t>
  </si>
  <si>
    <t>Query matrix</t>
  </si>
  <si>
    <t>dL/dZ</t>
  </si>
  <si>
    <t>Final Pred</t>
  </si>
  <si>
    <t>ENCODER-ONLY TRANSFORMER FOR FRAUD DETECTION</t>
  </si>
  <si>
    <t>Excel Implementation - Educational Resource</t>
  </si>
  <si>
    <t>What's Included (Encoder Components):</t>
  </si>
  <si>
    <t>Self-Attention Mechanism with Query (Q), Key (K), Value (V) matrices</t>
  </si>
  <si>
    <t>Attention Score Calculation: Q × K^T</t>
  </si>
  <si>
    <t>Softmax Normalization for attention weights</t>
  </si>
  <si>
    <t>Attention Output: Z = Softmax(A) × V</t>
  </si>
  <si>
    <t>Binary Cross-Entropy Loss Function</t>
  </si>
  <si>
    <t>Backpropagation with gradient calculations</t>
  </si>
  <si>
    <t>Weight updates via gradient descent</t>
  </si>
  <si>
    <t>What's NOT Included (Decoder Components):</t>
  </si>
  <si>
    <t>No Masked Self-Attention (prevents looking at future tokens)</t>
  </si>
  <si>
    <t>No Cross-Attention layers (encoder-decoder connections)</t>
  </si>
  <si>
    <t>No Autoregressive Token Generation</t>
  </si>
  <si>
    <t>No Sequence-to-Sequence architecture</t>
  </si>
  <si>
    <t>Why Encoder-Only for Fraud Detection?</t>
  </si>
  <si>
    <t>Pattern recognition in transaction data</t>
  </si>
  <si>
    <t>Binary classification (Fraud vs Legitimate)</t>
  </si>
  <si>
    <t>Feature relationship learning</t>
  </si>
  <si>
    <t>Anomaly detection</t>
  </si>
  <si>
    <t>Sheet 1-2: Data</t>
  </si>
  <si>
    <t>Contains:</t>
  </si>
  <si>
    <t>6 sample transactions with fraud patterns</t>
  </si>
  <si>
    <t>Input features: Amount, Time, Merchant Type, Frequency, Location, Device</t>
  </si>
  <si>
    <t>Feature encoding scheme</t>
  </si>
  <si>
    <t>Initial Q, K, V weight matrices (6×4 dimensions)</t>
  </si>
  <si>
    <t>Ground truth fraud labels</t>
  </si>
  <si>
    <t>Sheets 3-10: Training Iterations (First through Eighth)</t>
  </si>
  <si>
    <t>Each iteration shows:</t>
  </si>
  <si>
    <t>FORWARD PASS:</t>
  </si>
  <si>
    <t>1. Input embeddings (X_train)</t>
  </si>
  <si>
    <t>2. Query transformation: Q = X × W_Q</t>
  </si>
  <si>
    <t>3. Key transformation: K = X × W_K</t>
  </si>
  <si>
    <t>4. Value transformation: V = X × W_V</t>
  </si>
  <si>
    <t>5. Attention scores: A = Q × K^T / √d_k</t>
  </si>
  <si>
    <t>6. Softmax probabilities: P = softmax(A)</t>
  </si>
  <si>
    <t>7. Attention output: Z = P × V</t>
  </si>
  <si>
    <t>8. Binary predictions (Y_pred)</t>
  </si>
  <si>
    <t>9. Binary Cross-Entropy Loss</t>
  </si>
  <si>
    <t>BACKWARD PASS:</t>
  </si>
  <si>
    <t>1. Gradient of loss w.r.t. attention output (dL/dZ)</t>
  </si>
  <si>
    <t>2. Gradient w.r.t. attention probabilities with softmax derivative (dL/dP)</t>
  </si>
  <si>
    <t>3. Gradient w.r.t. attention scores (dL/dA)</t>
  </si>
  <si>
    <t>4. Gradients for weight matrices:</t>
  </si>
  <si>
    <t>dL/dQ = X^T × gradient</t>
  </si>
  <si>
    <t>dL/dK = X^T × gradient</t>
  </si>
  <si>
    <t>dL/dV = X^T × gradient</t>
  </si>
  <si>
    <t>5. Updated weights: W_new = W_old - learning_rate × gradient</t>
  </si>
  <si>
    <t>Sheet 11: Validation</t>
  </si>
  <si>
    <t>Final model performance</t>
  </si>
  <si>
    <t>Convergence analysis</t>
  </si>
  <si>
    <t>Accuracy metrics</t>
  </si>
  <si>
    <t>Input Features (6 features per transaction):</t>
  </si>
  <si>
    <t>Fraud Patterns Captured:</t>
  </si>
  <si>
    <t>Self-Attention (Core Transformer Mechanism):</t>
  </si>
  <si>
    <t>Attention(Q, K, V) = softmax(Q × K^T / √d_k) × V</t>
  </si>
  <si>
    <t>Where:</t>
  </si>
  <si>
    <t>Loss Function:</t>
  </si>
  <si>
    <t>Binary Cross-Entropy:</t>
  </si>
  <si>
    <t>L = -[y·log(ŷ) + (1-y)·log(1-ŷ)]</t>
  </si>
  <si>
    <t>Weight Update:</t>
  </si>
  <si>
    <t>Gradient Descent:</t>
  </si>
  <si>
    <t>W_new = W_old - α × ∇L</t>
  </si>
  <si>
    <t>Where α = learning rate</t>
  </si>
  <si>
    <t>Step 1: Start with Data Sheet</t>
  </si>
  <si>
    <t>Review the 6 transactions</t>
  </si>
  <si>
    <t>Understand feature encoding</t>
  </si>
  <si>
    <t>Note initial Q, K, V matrices</t>
  </si>
  <si>
    <t>Step 2: Follow First Iteration</t>
  </si>
  <si>
    <t>Trace how attention scores are calculated</t>
  </si>
  <si>
    <t>Watch softmax normalize weights</t>
  </si>
  <si>
    <t>See how predictions are made</t>
  </si>
  <si>
    <t>Examine loss calculation</t>
  </si>
  <si>
    <t>Step 3: Study Backpropagation</t>
  </si>
  <si>
    <t>Follow gradients backward through network</t>
  </si>
  <si>
    <t>See how errors propagate</t>
  </si>
  <si>
    <t>Understand weight adjustments</t>
  </si>
  <si>
    <t>Step 4: Compare Iterations</t>
  </si>
  <si>
    <t>Observe loss decreasing (1st → 8th iteration)</t>
  </si>
  <si>
    <t>Watch predictions improve</t>
  </si>
  <si>
    <t>See weights converge</t>
  </si>
  <si>
    <t>Key Cells to Examine:</t>
  </si>
  <si>
    <t>Perfect For:</t>
  </si>
  <si>
    <t>Learning Outcomes:</t>
  </si>
  <si>
    <t>Understand self-attention mechanism</t>
  </si>
  <si>
    <t>See matrix multiplication in action</t>
  </si>
  <si>
    <t>Grasp backpropagation flow</t>
  </si>
  <si>
    <t>Learn gradient descent optimization</t>
  </si>
  <si>
    <t>Distinguish encoder vs decoder architectures</t>
  </si>
  <si>
    <t>This workbook contains a complete, transparent implementation of an Encoder-Only Transformer neural network for credit card fraud detection. Every calculation is visible, making this ideal for learning how transformers work without programming.</t>
  </si>
  <si>
    <t>This implementation uses an Encoder-Only Transformer architecture, similar to BERT (Bidirectional Encoder Representations from Transformers).</t>
  </si>
  <si>
    <t>Encoder-only transformers excel at classification and understanding tasks:</t>
  </si>
  <si>
    <t>Note: Decoder-only models (like GPT) are used for text generation, not classification tasks like fraud detection.</t>
  </si>
  <si>
    <t>1. Amount (USD) - Normalized 0-1</t>
  </si>
  <si>
    <t>2. Time - Encoded 1-4 (Late Night, Morning, Afternoon, Evening)</t>
  </si>
  <si>
    <t>3. Merchant Type - 1=Low Risk (Grocery), 2=Medium Risk (Electronics), 3=High Risk (Luxury)</t>
  </si>
  <si>
    <t>4. Frequency - 0.1-1.0 (Transaction frequency pattern)</t>
  </si>
  <si>
    <t>5. Location - 0=Domestic, 1=Foreign</t>
  </si>
  <si>
    <t>6. Device Used - 0=Same Device, 1=New Device</t>
  </si>
  <si>
    <t>High amounts ($8K-$9.5K) + Late night + Luxury merchant + Foreign location + New device = FRAUD</t>
  </si>
  <si>
    <t>Low amounts ($50-$200) + Normal hours + Grocery + Domestic + Same device = LEGITIMATE</t>
  </si>
  <si>
    <t>d_k = dimension of key vectors (4 in this implementation)</t>
  </si>
  <si>
    <t>Softmax ensures attention weights sum to 1</t>
  </si>
  <si>
    <t>Q, K, V are 6×4 matrices</t>
  </si>
  <si>
    <t>Attention Scores - Shows feature importance</t>
  </si>
  <si>
    <t>Softmax Probabilities - Normalized attention (sum=1)</t>
  </si>
  <si>
    <t>Loss Values - Model accuracy measure</t>
  </si>
  <si>
    <t>Gradient Computations - Direction of learning</t>
  </si>
  <si>
    <t>Students learning transformer architectures</t>
  </si>
  <si>
    <t>Instructors teaching neural networks with transparency</t>
  </si>
  <si>
    <t>Researchers prototyping attention mechanisms</t>
  </si>
  <si>
    <t>Practitioners understanding model internals before production</t>
  </si>
  <si>
    <t>WHAT IS THIS?</t>
  </si>
  <si>
    <t>ARCHITECTURE TYPE: ENCODER-ONLY</t>
  </si>
  <si>
    <t>WORKBOOK STRUCTURE</t>
  </si>
  <si>
    <t>FRAUD DETECTION USE CASE</t>
  </si>
  <si>
    <t>MATHEMATICAL FOUNDATION</t>
  </si>
  <si>
    <t>HOW TO USE THIS WORKBOOK</t>
  </si>
  <si>
    <t>EDUCATIONAL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</si>
</sst>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16644"/>
      <name val="Courier New"/>
      <family val="3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urier New"/>
      <family val="3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center" vertical="top"/>
    </xf>
    <xf numFmtId="0" fontId="0" fillId="4" borderId="0" xfId="0" applyFill="1"/>
    <xf numFmtId="0" fontId="7" fillId="5" borderId="0" xfId="0" applyFont="1" applyFill="1"/>
    <xf numFmtId="0" fontId="7" fillId="6" borderId="0" xfId="0" applyFont="1" applyFill="1"/>
    <xf numFmtId="0" fontId="0" fillId="7" borderId="0" xfId="0" applyFill="1"/>
    <xf numFmtId="0" fontId="0" fillId="8" borderId="0" xfId="0" applyFill="1"/>
    <xf numFmtId="0" fontId="1" fillId="7" borderId="0" xfId="0" applyFont="1" applyFill="1"/>
    <xf numFmtId="0" fontId="0" fillId="9" borderId="0" xfId="0" applyFill="1"/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10" borderId="0" xfId="0" applyFont="1" applyFill="1" applyAlignment="1">
      <alignment vertical="center" wrapText="1"/>
    </xf>
  </cellXfs>
  <cellStyles count="2">
    <cellStyle name="Currency" xfId="1" builtinId="4"/>
    <cellStyle name="Normal" xfId="0" builtinId="0"/>
  </cellStyles>
  <dxfs count="34"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ill>
        <patternFill patternType="solid">
          <fgColor indexed="64"/>
          <bgColor rgb="FFD3D3D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rgb="FFD3D3D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09965F-8F4F-43F3-AB56-2983742D1F18}" name="Table110" displayName="Table110" ref="L3:M8" totalsRowShown="0">
  <autoFilter ref="L3:M8" xr:uid="{A37F8855-5B30-45C7-8719-A7119B0A5564}"/>
  <tableColumns count="2">
    <tableColumn id="1" xr3:uid="{67F21A6D-3EAC-48CC-823F-537E665C135E}" name="Feature"/>
    <tableColumn id="2" xr3:uid="{FD420181-BEAC-4370-947D-63968D6BD384}" name="Encod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EE494F-7228-426F-A299-4936ED43D8B2}" name="Table2511" displayName="Table2511" ref="B3:H10" totalsRowShown="0">
  <tableColumns count="7">
    <tableColumn id="1" xr3:uid="{0AF607BF-9225-4637-94BE-F51BA47E2A1D}" name="Transaction"/>
    <tableColumn id="2" xr3:uid="{AA49519F-31E4-4183-B125-3A1D49799A10}" name="1" dataDxfId="33"/>
    <tableColumn id="3" xr3:uid="{ED642E7A-28AA-4684-82D9-B3A40984FC1B}" name="2" dataDxfId="32"/>
    <tableColumn id="4" xr3:uid="{DE391710-9E55-452F-9756-687B00EC4F8A}" name="3" dataDxfId="31"/>
    <tableColumn id="5" xr3:uid="{F7577746-5684-42E3-893B-B6562B62CDB4}" name="4" dataDxfId="30"/>
    <tableColumn id="6" xr3:uid="{942B79ED-D0C7-40D2-92FB-ECC9DE5955E9}" name="5" dataDxfId="29"/>
    <tableColumn id="7" xr3:uid="{74F4EF5F-6DBA-466D-8E30-C9E1AB763862}" name="6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1568B1-F35E-477D-AFBA-33E348A72E59}" name="Table3612" displayName="Table3612" ref="B13:H20" totalsRowShown="0">
  <tableColumns count="7">
    <tableColumn id="1" xr3:uid="{F83A0DA1-9597-473D-80E8-6744CEF1E755}" name="Transaction"/>
    <tableColumn id="2" xr3:uid="{28DAAFE0-E0AE-4933-87F0-712D9582E65C}" name="1"/>
    <tableColumn id="3" xr3:uid="{318A1D3C-61A3-461A-9629-A33FD8FA25A4}" name="2"/>
    <tableColumn id="4" xr3:uid="{DB2B7CEB-599B-4641-AD7B-094C76FFB1CC}" name="3"/>
    <tableColumn id="5" xr3:uid="{D5440246-6574-41E3-8F3D-811389F0BFDD}" name="4"/>
    <tableColumn id="6" xr3:uid="{9DE18C69-4C30-4B34-9E2C-49FA427D0D50}" name="5"/>
    <tableColumn id="7" xr3:uid="{EF5A099D-C2FF-468A-82BB-355B106737A4}" name="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3792E1C-FA77-466A-8F48-2D5D90DD893A}" name="Table413" displayName="Table413" ref="B25:F31" totalsRowShown="0" headerRowDxfId="27">
  <tableColumns count="5">
    <tableColumn id="1" xr3:uid="{39C514F3-7FD1-4FA2-AAF4-543398365ACB}" name="Feature" dataDxfId="26"/>
    <tableColumn id="2" xr3:uid="{D4302CA0-1CB5-4373-B430-93A944487655}" name="Q1"/>
    <tableColumn id="3" xr3:uid="{9F3CC494-E697-4F25-8894-A6DEBFBE9AEB}" name="Q2"/>
    <tableColumn id="4" xr3:uid="{A9AF66BA-254C-4871-BCFE-613BB48BE55B}" name="Q3"/>
    <tableColumn id="5" xr3:uid="{A87F72BE-1B32-47AD-90D4-8AF2A8CE6CB0}" name="Q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F14408-6D8B-457D-833E-92D649310702}" name="Table36914" displayName="Table36914" ref="B57:H64" totalsRowShown="0">
  <tableColumns count="7">
    <tableColumn id="1" xr3:uid="{ABFAE5F3-265A-4075-9CB3-F58FE2261307}" name="Transaction"/>
    <tableColumn id="2" xr3:uid="{0112A2DA-90AE-47ED-BA3A-E4099D2FC90F}" name="1"/>
    <tableColumn id="3" xr3:uid="{8BB02563-1016-4A96-A205-FE97C166630C}" name="2"/>
    <tableColumn id="4" xr3:uid="{625FDF0F-98B0-4D13-BF13-A23E79BED32D}" name="3"/>
    <tableColumn id="5" xr3:uid="{B4D641BB-4527-4058-8AA7-4B1CC219FF51}" name="4"/>
    <tableColumn id="6" xr3:uid="{4DB09C16-8C3C-4625-B82B-C7EFD3DB1130}" name="5"/>
    <tableColumn id="7" xr3:uid="{62B296F6-D4C5-4F66-BC9A-FF1B816AD573}" name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34EC0-E673-4723-A655-7B90FBF9F662}" name="Table1" displayName="Table1" ref="L3:M8" totalsRowShown="0">
  <autoFilter ref="L3:M8" xr:uid="{A37F8855-5B30-45C7-8719-A7119B0A5564}"/>
  <tableColumns count="2">
    <tableColumn id="1" xr3:uid="{57E58BB7-3A18-43F2-A08F-9F473B75AF50}" name="Feature"/>
    <tableColumn id="2" xr3:uid="{E9689A8D-8056-47A7-9BA5-285FD9427D68}" name="Encod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92F47E-CD73-475C-8E7F-8A7D998B2E29}" name="Table25" displayName="Table25" ref="B3:H10" totalsRowShown="0">
  <tableColumns count="7">
    <tableColumn id="1" xr3:uid="{BF0E74CA-493A-49B6-B43C-A57CD800D09B}" name="Transaction"/>
    <tableColumn id="2" xr3:uid="{BC92C00F-1032-47CC-A926-88B0D685E1C5}" name="1" dataDxfId="25"/>
    <tableColumn id="3" xr3:uid="{262026CA-0960-497F-8A03-705E7089194E}" name="2" dataDxfId="24"/>
    <tableColumn id="4" xr3:uid="{22E48DDA-2504-43FB-8566-8D047CC7F2FA}" name="3" dataDxfId="23"/>
    <tableColumn id="5" xr3:uid="{596A9948-A251-49A5-9246-B38272F15763}" name="4" dataDxfId="22"/>
    <tableColumn id="6" xr3:uid="{556D718A-62D1-45A2-B8F3-D50246A1C44E}" name="5" dataDxfId="21"/>
    <tableColumn id="7" xr3:uid="{5FD51B7B-2A64-4D41-A3F6-83C03FAFC434}" name="6" dataDxfId="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3F06D3-1739-4DCF-960A-EBD3A10EAFE9}" name="Table36" displayName="Table36" ref="B13:H20" totalsRowShown="0">
  <tableColumns count="7">
    <tableColumn id="1" xr3:uid="{D92D58FA-AA9B-422E-84B3-B31F79BECF07}" name="Transaction"/>
    <tableColumn id="2" xr3:uid="{3D3BAB04-9AB4-4A4A-93B4-80B1C014BDAE}" name="1"/>
    <tableColumn id="3" xr3:uid="{59780DB0-7BDF-4D25-960C-E2CB0FE6DA83}" name="2"/>
    <tableColumn id="4" xr3:uid="{1AEBED0A-B38F-40DD-B0C3-18A0496D6727}" name="3"/>
    <tableColumn id="5" xr3:uid="{0DBD38BC-C220-41B9-8B32-F5DC43F8FE98}" name="4"/>
    <tableColumn id="6" xr3:uid="{1A46F405-6BA7-42C1-9374-77E0960ED837}" name="5"/>
    <tableColumn id="7" xr3:uid="{55802AEE-D7DA-4BEE-B18E-1244714F02F0}" name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501CB1-5E49-44F3-BB30-E294FCF31814}" name="Table4" displayName="Table4" ref="B25:F31" totalsRowShown="0" headerRowDxfId="19">
  <tableColumns count="5">
    <tableColumn id="1" xr3:uid="{70D6362B-BD6A-4657-9F91-1ED881D5C533}" name="Feature" dataDxfId="18"/>
    <tableColumn id="2" xr3:uid="{6AAEA91F-A2DB-41FB-8726-32011A72FAE5}" name="Q1"/>
    <tableColumn id="3" xr3:uid="{6486F09D-92DA-4C5B-A27F-A9E6188EB865}" name="Q2"/>
    <tableColumn id="4" xr3:uid="{EB99C144-5572-4F84-A568-65AE1FA39C68}" name="Q3"/>
    <tableColumn id="5" xr3:uid="{C3DF156C-CEDF-44D7-BF3A-B49272D2F178}" name="Q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A68207-1A92-4C9D-8DE3-69E9DFB513F7}" name="Table369" displayName="Table369" ref="B57:H64" totalsRowShown="0">
  <tableColumns count="7">
    <tableColumn id="1" xr3:uid="{E7D27808-C9DC-4F5D-8C2B-7F0313FF5919}" name="Transaction"/>
    <tableColumn id="2" xr3:uid="{7A2C910F-637C-4466-A6E3-3511398705A0}" name="1"/>
    <tableColumn id="3" xr3:uid="{FFEDC7CD-FD8C-4D2A-961D-57259AE51755}" name="2"/>
    <tableColumn id="4" xr3:uid="{F17064F0-8104-43D7-9A33-01333899CA69}" name="3"/>
    <tableColumn id="5" xr3:uid="{12A99187-F2C6-4AA3-B2EF-8354FD5D7039}" name="4"/>
    <tableColumn id="6" xr3:uid="{181C5F80-A53F-49B1-885F-F0F094D48D5F}" name="5"/>
    <tableColumn id="7" xr3:uid="{6A4278DB-40D2-4D8F-AE8D-9EFE473B6B7F}" name="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355963-4099-415D-82D0-2CB62096672D}" name="Table5" displayName="Table5" ref="B12:F18" totalsRowShown="0" dataDxfId="17">
  <tableColumns count="5">
    <tableColumn id="1" xr3:uid="{DE64D651-C690-4226-BD4D-1C187AC57C31}" name="Query matrix" dataDxfId="16"/>
    <tableColumn id="2" xr3:uid="{25BCC82F-4C19-43D8-BF09-3E833834442A}" name="Q1" dataDxfId="15">
      <calculatedColumnFormula>'Seventh Iteration'!AK48</calculatedColumnFormula>
    </tableColumn>
    <tableColumn id="3" xr3:uid="{7EBDD5CE-D869-486A-97E8-AF61E823FD83}" name="Q2" dataDxfId="14">
      <calculatedColumnFormula>'Seventh Iteration'!AL48</calculatedColumnFormula>
    </tableColumn>
    <tableColumn id="4" xr3:uid="{E2ABFC54-A8C9-4195-B4D2-CD2B80B3B30F}" name="Q3" dataDxfId="13">
      <calculatedColumnFormula>'Seventh Iteration'!AM48</calculatedColumnFormula>
    </tableColumn>
    <tableColumn id="5" xr3:uid="{03DC1C83-F649-42A8-9877-B023CF0A9AF2}" name="Q4" dataDxfId="12">
      <calculatedColumnFormula>'Seventh Iteration'!AN48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BA031C-2D5C-47B6-999F-DEA483951849}" name="Table6" displayName="Table6" ref="B19:F25" totalsRowShown="0" dataDxfId="11">
  <tableColumns count="5">
    <tableColumn id="1" xr3:uid="{52CDA1AF-C384-4CBD-B420-9A65B7329452}" name="Key matrix" dataDxfId="10"/>
    <tableColumn id="2" xr3:uid="{D035CA51-9A43-466B-B127-46CA7B1B80DD}" name="K1" dataDxfId="9">
      <calculatedColumnFormula>'Seventh Iteration'!AK56</calculatedColumnFormula>
    </tableColumn>
    <tableColumn id="3" xr3:uid="{3F4F52E5-960D-40D8-A8B6-2CFCCA44EC70}" name="K2" dataDxfId="8">
      <calculatedColumnFormula>'Seventh Iteration'!AL56</calculatedColumnFormula>
    </tableColumn>
    <tableColumn id="4" xr3:uid="{0569685F-C9DF-4854-AFDF-F5B919DE76BA}" name="K3" dataDxfId="7">
      <calculatedColumnFormula>'Seventh Iteration'!AM56</calculatedColumnFormula>
    </tableColumn>
    <tableColumn id="5" xr3:uid="{7A77E9F7-8BB0-42F5-9784-BFB3186ADAF3}" name="K4" dataDxfId="6">
      <calculatedColumnFormula>'Seventh Iteration'!AN56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92C227-43E6-4F33-9199-3962218AF7DF}" name="Table7" displayName="Table7" ref="B26:F32" totalsRowShown="0" dataDxfId="5">
  <tableColumns count="5">
    <tableColumn id="1" xr3:uid="{D49AAEEE-2274-4F81-85D1-90656A7F1A68}" name="Value matrix" dataDxfId="4"/>
    <tableColumn id="2" xr3:uid="{9B12A271-97B7-41BE-852E-B05C1D044806}" name="V1" dataDxfId="3">
      <calculatedColumnFormula>'Seventh Iteration'!AK38</calculatedColumnFormula>
    </tableColumn>
    <tableColumn id="3" xr3:uid="{9B911A7A-EB5B-4B10-A551-B1B9BCAF5C96}" name="V2" dataDxfId="2">
      <calculatedColumnFormula>'Seventh Iteration'!AL38</calculatedColumnFormula>
    </tableColumn>
    <tableColumn id="4" xr3:uid="{5F684B51-37A2-459D-AD66-A9B63C97C726}" name="V3" dataDxfId="1">
      <calculatedColumnFormula>'Seventh Iteration'!AM38</calculatedColumnFormula>
    </tableColumn>
    <tableColumn id="5" xr3:uid="{616B17FE-FCF8-4958-9DF7-FB79AC5DCCB8}" name="V4" dataDxfId="0">
      <calculatedColumnFormula>'Seventh Iteration'!AN38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84F6-9B2A-46E8-9E15-E29350AF4024}">
  <dimension ref="B4:B129"/>
  <sheetViews>
    <sheetView tabSelected="1" workbookViewId="0">
      <selection activeCell="G6" sqref="G6"/>
    </sheetView>
  </sheetViews>
  <sheetFormatPr defaultRowHeight="14.4" x14ac:dyDescent="0.3"/>
  <cols>
    <col min="2" max="2" width="71.6640625" customWidth="1"/>
  </cols>
  <sheetData>
    <row r="4" spans="2:2" ht="15.6" x14ac:dyDescent="0.3">
      <c r="B4" s="29" t="s">
        <v>91</v>
      </c>
    </row>
    <row r="5" spans="2:2" ht="15.6" x14ac:dyDescent="0.3">
      <c r="B5" s="30" t="s">
        <v>92</v>
      </c>
    </row>
    <row r="6" spans="2:2" ht="15.6" x14ac:dyDescent="0.3">
      <c r="B6" s="30"/>
    </row>
    <row r="7" spans="2:2" ht="15.6" x14ac:dyDescent="0.3">
      <c r="B7" s="29" t="s">
        <v>203</v>
      </c>
    </row>
    <row r="8" spans="2:2" ht="62.4" x14ac:dyDescent="0.3">
      <c r="B8" s="30" t="s">
        <v>180</v>
      </c>
    </row>
    <row r="9" spans="2:2" ht="15.6" x14ac:dyDescent="0.3">
      <c r="B9" s="30"/>
    </row>
    <row r="10" spans="2:2" ht="15.6" x14ac:dyDescent="0.3">
      <c r="B10" s="29" t="s">
        <v>204</v>
      </c>
    </row>
    <row r="11" spans="2:2" ht="46.8" x14ac:dyDescent="0.3">
      <c r="B11" s="30" t="s">
        <v>181</v>
      </c>
    </row>
    <row r="12" spans="2:2" ht="15.6" x14ac:dyDescent="0.3">
      <c r="B12" s="30" t="s">
        <v>93</v>
      </c>
    </row>
    <row r="13" spans="2:2" ht="31.2" x14ac:dyDescent="0.3">
      <c r="B13" s="31" t="s">
        <v>94</v>
      </c>
    </row>
    <row r="14" spans="2:2" ht="15.6" x14ac:dyDescent="0.3">
      <c r="B14" s="31" t="s">
        <v>95</v>
      </c>
    </row>
    <row r="15" spans="2:2" ht="15.6" x14ac:dyDescent="0.3">
      <c r="B15" s="31" t="s">
        <v>96</v>
      </c>
    </row>
    <row r="16" spans="2:2" ht="15.6" x14ac:dyDescent="0.3">
      <c r="B16" s="31" t="s">
        <v>97</v>
      </c>
    </row>
    <row r="17" spans="2:2" ht="15.6" x14ac:dyDescent="0.3">
      <c r="B17" s="31" t="s">
        <v>98</v>
      </c>
    </row>
    <row r="18" spans="2:2" ht="15.6" x14ac:dyDescent="0.3">
      <c r="B18" s="31" t="s">
        <v>99</v>
      </c>
    </row>
    <row r="19" spans="2:2" ht="15.6" x14ac:dyDescent="0.3">
      <c r="B19" s="31" t="s">
        <v>100</v>
      </c>
    </row>
    <row r="20" spans="2:2" ht="15.6" x14ac:dyDescent="0.3">
      <c r="B20" s="30" t="s">
        <v>101</v>
      </c>
    </row>
    <row r="21" spans="2:2" ht="31.2" x14ac:dyDescent="0.3">
      <c r="B21" s="31" t="s">
        <v>102</v>
      </c>
    </row>
    <row r="22" spans="2:2" ht="15.6" x14ac:dyDescent="0.3">
      <c r="B22" s="31" t="s">
        <v>103</v>
      </c>
    </row>
    <row r="23" spans="2:2" ht="15.6" x14ac:dyDescent="0.3">
      <c r="B23" s="31" t="s">
        <v>104</v>
      </c>
    </row>
    <row r="24" spans="2:2" ht="15.6" x14ac:dyDescent="0.3">
      <c r="B24" s="31" t="s">
        <v>105</v>
      </c>
    </row>
    <row r="25" spans="2:2" ht="15.6" x14ac:dyDescent="0.3">
      <c r="B25" s="30" t="s">
        <v>106</v>
      </c>
    </row>
    <row r="26" spans="2:2" ht="31.2" x14ac:dyDescent="0.3">
      <c r="B26" s="30" t="s">
        <v>182</v>
      </c>
    </row>
    <row r="27" spans="2:2" ht="15.6" x14ac:dyDescent="0.3">
      <c r="B27" s="31" t="s">
        <v>107</v>
      </c>
    </row>
    <row r="28" spans="2:2" ht="15.6" x14ac:dyDescent="0.3">
      <c r="B28" s="31" t="s">
        <v>108</v>
      </c>
    </row>
    <row r="29" spans="2:2" ht="15.6" x14ac:dyDescent="0.3">
      <c r="B29" s="31" t="s">
        <v>109</v>
      </c>
    </row>
    <row r="30" spans="2:2" ht="15.6" x14ac:dyDescent="0.3">
      <c r="B30" s="31" t="s">
        <v>110</v>
      </c>
    </row>
    <row r="31" spans="2:2" ht="31.2" x14ac:dyDescent="0.3">
      <c r="B31" s="30" t="s">
        <v>183</v>
      </c>
    </row>
    <row r="32" spans="2:2" ht="15.6" x14ac:dyDescent="0.3">
      <c r="B32" s="29" t="s">
        <v>205</v>
      </c>
    </row>
    <row r="33" spans="2:2" ht="15.6" x14ac:dyDescent="0.3">
      <c r="B33" s="30" t="s">
        <v>111</v>
      </c>
    </row>
    <row r="34" spans="2:2" ht="15.6" x14ac:dyDescent="0.3">
      <c r="B34" s="30" t="s">
        <v>112</v>
      </c>
    </row>
    <row r="35" spans="2:2" ht="15.6" x14ac:dyDescent="0.3">
      <c r="B35" s="31" t="s">
        <v>113</v>
      </c>
    </row>
    <row r="36" spans="2:2" ht="31.2" x14ac:dyDescent="0.3">
      <c r="B36" s="31" t="s">
        <v>114</v>
      </c>
    </row>
    <row r="37" spans="2:2" ht="15.6" x14ac:dyDescent="0.3">
      <c r="B37" s="31" t="s">
        <v>115</v>
      </c>
    </row>
    <row r="38" spans="2:2" ht="15.6" x14ac:dyDescent="0.3">
      <c r="B38" s="31" t="s">
        <v>116</v>
      </c>
    </row>
    <row r="39" spans="2:2" ht="15.6" x14ac:dyDescent="0.3">
      <c r="B39" s="31" t="s">
        <v>117</v>
      </c>
    </row>
    <row r="40" spans="2:2" ht="15.6" x14ac:dyDescent="0.3">
      <c r="B40" s="30" t="s">
        <v>118</v>
      </c>
    </row>
    <row r="41" spans="2:2" ht="15.6" x14ac:dyDescent="0.3">
      <c r="B41" s="30" t="s">
        <v>119</v>
      </c>
    </row>
    <row r="42" spans="2:2" ht="15.6" x14ac:dyDescent="0.3">
      <c r="B42" s="30" t="s">
        <v>120</v>
      </c>
    </row>
    <row r="43" spans="2:2" ht="15.6" x14ac:dyDescent="0.3">
      <c r="B43" s="31" t="s">
        <v>121</v>
      </c>
    </row>
    <row r="44" spans="2:2" ht="15.6" x14ac:dyDescent="0.3">
      <c r="B44" s="31" t="s">
        <v>122</v>
      </c>
    </row>
    <row r="45" spans="2:2" ht="15.6" x14ac:dyDescent="0.3">
      <c r="B45" s="31" t="s">
        <v>123</v>
      </c>
    </row>
    <row r="46" spans="2:2" ht="15.6" x14ac:dyDescent="0.3">
      <c r="B46" s="31" t="s">
        <v>124</v>
      </c>
    </row>
    <row r="47" spans="2:2" ht="15.6" x14ac:dyDescent="0.3">
      <c r="B47" s="31" t="s">
        <v>125</v>
      </c>
    </row>
    <row r="48" spans="2:2" ht="15.6" x14ac:dyDescent="0.3">
      <c r="B48" s="31" t="s">
        <v>126</v>
      </c>
    </row>
    <row r="49" spans="2:2" ht="15.6" x14ac:dyDescent="0.3">
      <c r="B49" s="31" t="s">
        <v>127</v>
      </c>
    </row>
    <row r="50" spans="2:2" ht="15.6" x14ac:dyDescent="0.3">
      <c r="B50" s="31" t="s">
        <v>128</v>
      </c>
    </row>
    <row r="51" spans="2:2" ht="15.6" x14ac:dyDescent="0.3">
      <c r="B51" s="31" t="s">
        <v>129</v>
      </c>
    </row>
    <row r="52" spans="2:2" ht="15.6" x14ac:dyDescent="0.3">
      <c r="B52" s="30" t="s">
        <v>130</v>
      </c>
    </row>
    <row r="53" spans="2:2" ht="15.6" x14ac:dyDescent="0.3">
      <c r="B53" s="31" t="s">
        <v>131</v>
      </c>
    </row>
    <row r="54" spans="2:2" ht="31.2" x14ac:dyDescent="0.3">
      <c r="B54" s="31" t="s">
        <v>132</v>
      </c>
    </row>
    <row r="55" spans="2:2" ht="15.6" x14ac:dyDescent="0.3">
      <c r="B55" s="31" t="s">
        <v>133</v>
      </c>
    </row>
    <row r="56" spans="2:2" ht="15.6" x14ac:dyDescent="0.3">
      <c r="B56" s="31" t="s">
        <v>134</v>
      </c>
    </row>
    <row r="57" spans="2:2" ht="15.6" x14ac:dyDescent="0.3">
      <c r="B57" s="31" t="s">
        <v>135</v>
      </c>
    </row>
    <row r="58" spans="2:2" ht="15.6" x14ac:dyDescent="0.3">
      <c r="B58" s="31" t="s">
        <v>136</v>
      </c>
    </row>
    <row r="59" spans="2:2" ht="15.6" x14ac:dyDescent="0.3">
      <c r="B59" s="31" t="s">
        <v>137</v>
      </c>
    </row>
    <row r="60" spans="2:2" ht="31.2" x14ac:dyDescent="0.3">
      <c r="B60" s="31" t="s">
        <v>138</v>
      </c>
    </row>
    <row r="61" spans="2:2" ht="15.6" x14ac:dyDescent="0.3">
      <c r="B61" s="30" t="s">
        <v>139</v>
      </c>
    </row>
    <row r="62" spans="2:2" ht="15.6" x14ac:dyDescent="0.3">
      <c r="B62" s="31" t="s">
        <v>140</v>
      </c>
    </row>
    <row r="63" spans="2:2" ht="15.6" x14ac:dyDescent="0.3">
      <c r="B63" s="31" t="s">
        <v>141</v>
      </c>
    </row>
    <row r="64" spans="2:2" ht="15.6" x14ac:dyDescent="0.3">
      <c r="B64" s="31" t="s">
        <v>142</v>
      </c>
    </row>
    <row r="65" spans="2:2" ht="15.6" x14ac:dyDescent="0.3">
      <c r="B65" s="29" t="s">
        <v>206</v>
      </c>
    </row>
    <row r="66" spans="2:2" ht="15.6" x14ac:dyDescent="0.3">
      <c r="B66" s="30" t="s">
        <v>143</v>
      </c>
    </row>
    <row r="67" spans="2:2" ht="15.6" x14ac:dyDescent="0.3">
      <c r="B67" s="31" t="s">
        <v>184</v>
      </c>
    </row>
    <row r="68" spans="2:2" ht="31.2" x14ac:dyDescent="0.3">
      <c r="B68" s="31" t="s">
        <v>185</v>
      </c>
    </row>
    <row r="69" spans="2:2" ht="31.2" x14ac:dyDescent="0.3">
      <c r="B69" s="31" t="s">
        <v>186</v>
      </c>
    </row>
    <row r="70" spans="2:2" ht="15.6" x14ac:dyDescent="0.3">
      <c r="B70" s="31" t="s">
        <v>187</v>
      </c>
    </row>
    <row r="71" spans="2:2" ht="15.6" x14ac:dyDescent="0.3">
      <c r="B71" s="31" t="s">
        <v>188</v>
      </c>
    </row>
    <row r="72" spans="2:2" ht="15.6" x14ac:dyDescent="0.3">
      <c r="B72" s="31" t="s">
        <v>189</v>
      </c>
    </row>
    <row r="73" spans="2:2" ht="15.6" x14ac:dyDescent="0.3">
      <c r="B73" s="30" t="s">
        <v>144</v>
      </c>
    </row>
    <row r="74" spans="2:2" ht="31.2" x14ac:dyDescent="0.3">
      <c r="B74" s="31" t="s">
        <v>190</v>
      </c>
    </row>
    <row r="75" spans="2:2" ht="31.2" x14ac:dyDescent="0.3">
      <c r="B75" s="31" t="s">
        <v>191</v>
      </c>
    </row>
    <row r="76" spans="2:2" ht="15.6" x14ac:dyDescent="0.3">
      <c r="B76" s="30"/>
    </row>
    <row r="77" spans="2:2" ht="15.6" x14ac:dyDescent="0.3">
      <c r="B77" s="29" t="s">
        <v>207</v>
      </c>
    </row>
    <row r="78" spans="2:2" ht="15.6" x14ac:dyDescent="0.3">
      <c r="B78" s="30" t="s">
        <v>145</v>
      </c>
    </row>
    <row r="79" spans="2:2" ht="15.6" x14ac:dyDescent="0.3">
      <c r="B79" s="32"/>
    </row>
    <row r="80" spans="2:2" ht="15.6" x14ac:dyDescent="0.3">
      <c r="B80" s="30" t="s">
        <v>146</v>
      </c>
    </row>
    <row r="81" spans="2:2" ht="15.6" x14ac:dyDescent="0.3">
      <c r="B81" s="30" t="s">
        <v>147</v>
      </c>
    </row>
    <row r="82" spans="2:2" ht="15.6" x14ac:dyDescent="0.3">
      <c r="B82" s="31" t="s">
        <v>192</v>
      </c>
    </row>
    <row r="83" spans="2:2" ht="15.6" x14ac:dyDescent="0.3">
      <c r="B83" s="31" t="s">
        <v>193</v>
      </c>
    </row>
    <row r="84" spans="2:2" ht="15.6" x14ac:dyDescent="0.3">
      <c r="B84" s="31" t="s">
        <v>194</v>
      </c>
    </row>
    <row r="85" spans="2:2" ht="15.6" x14ac:dyDescent="0.3">
      <c r="B85" s="30" t="s">
        <v>148</v>
      </c>
    </row>
    <row r="86" spans="2:2" ht="15.6" x14ac:dyDescent="0.3">
      <c r="B86" s="30" t="s">
        <v>149</v>
      </c>
    </row>
    <row r="87" spans="2:2" ht="15.6" x14ac:dyDescent="0.3">
      <c r="B87" s="30" t="s">
        <v>150</v>
      </c>
    </row>
    <row r="88" spans="2:2" ht="15.6" x14ac:dyDescent="0.3">
      <c r="B88" s="30"/>
    </row>
    <row r="89" spans="2:2" ht="15.6" x14ac:dyDescent="0.3">
      <c r="B89" s="30" t="s">
        <v>151</v>
      </c>
    </row>
    <row r="90" spans="2:2" ht="15.6" x14ac:dyDescent="0.3">
      <c r="B90" s="30" t="s">
        <v>152</v>
      </c>
    </row>
    <row r="91" spans="2:2" ht="15.6" x14ac:dyDescent="0.3">
      <c r="B91" s="30" t="s">
        <v>153</v>
      </c>
    </row>
    <row r="92" spans="2:2" ht="15.6" x14ac:dyDescent="0.3">
      <c r="B92" s="30" t="s">
        <v>154</v>
      </c>
    </row>
    <row r="93" spans="2:2" ht="15.6" x14ac:dyDescent="0.3">
      <c r="B93" s="30"/>
    </row>
    <row r="94" spans="2:2" ht="15.6" x14ac:dyDescent="0.3">
      <c r="B94" s="29" t="s">
        <v>208</v>
      </c>
    </row>
    <row r="95" spans="2:2" ht="15.6" x14ac:dyDescent="0.3">
      <c r="B95" s="30" t="s">
        <v>155</v>
      </c>
    </row>
    <row r="96" spans="2:2" ht="15.6" x14ac:dyDescent="0.3">
      <c r="B96" s="31" t="s">
        <v>156</v>
      </c>
    </row>
    <row r="97" spans="2:2" ht="15.6" x14ac:dyDescent="0.3">
      <c r="B97" s="31" t="s">
        <v>157</v>
      </c>
    </row>
    <row r="98" spans="2:2" ht="15.6" x14ac:dyDescent="0.3">
      <c r="B98" s="31" t="s">
        <v>158</v>
      </c>
    </row>
    <row r="99" spans="2:2" ht="15.6" x14ac:dyDescent="0.3">
      <c r="B99" s="30" t="s">
        <v>159</v>
      </c>
    </row>
    <row r="100" spans="2:2" ht="15.6" x14ac:dyDescent="0.3">
      <c r="B100" s="31" t="s">
        <v>160</v>
      </c>
    </row>
    <row r="101" spans="2:2" ht="15.6" x14ac:dyDescent="0.3">
      <c r="B101" s="31" t="s">
        <v>161</v>
      </c>
    </row>
    <row r="102" spans="2:2" ht="15.6" x14ac:dyDescent="0.3">
      <c r="B102" s="31" t="s">
        <v>162</v>
      </c>
    </row>
    <row r="103" spans="2:2" ht="15.6" x14ac:dyDescent="0.3">
      <c r="B103" s="31" t="s">
        <v>163</v>
      </c>
    </row>
    <row r="104" spans="2:2" ht="15.6" x14ac:dyDescent="0.3">
      <c r="B104" s="30" t="s">
        <v>164</v>
      </c>
    </row>
    <row r="105" spans="2:2" ht="15.6" x14ac:dyDescent="0.3">
      <c r="B105" s="31" t="s">
        <v>165</v>
      </c>
    </row>
    <row r="106" spans="2:2" ht="15.6" x14ac:dyDescent="0.3">
      <c r="B106" s="31" t="s">
        <v>166</v>
      </c>
    </row>
    <row r="107" spans="2:2" ht="15.6" x14ac:dyDescent="0.3">
      <c r="B107" s="31" t="s">
        <v>167</v>
      </c>
    </row>
    <row r="108" spans="2:2" ht="15.6" x14ac:dyDescent="0.3">
      <c r="B108" s="30" t="s">
        <v>168</v>
      </c>
    </row>
    <row r="109" spans="2:2" ht="15.6" x14ac:dyDescent="0.3">
      <c r="B109" s="31" t="s">
        <v>169</v>
      </c>
    </row>
    <row r="110" spans="2:2" ht="15.6" x14ac:dyDescent="0.3">
      <c r="B110" s="31" t="s">
        <v>170</v>
      </c>
    </row>
    <row r="111" spans="2:2" ht="15.6" x14ac:dyDescent="0.3">
      <c r="B111" s="31" t="s">
        <v>171</v>
      </c>
    </row>
    <row r="112" spans="2:2" ht="15.6" x14ac:dyDescent="0.3">
      <c r="B112" s="30" t="s">
        <v>172</v>
      </c>
    </row>
    <row r="113" spans="2:2" ht="15.6" x14ac:dyDescent="0.3">
      <c r="B113" s="31" t="s">
        <v>195</v>
      </c>
    </row>
    <row r="114" spans="2:2" ht="15.6" x14ac:dyDescent="0.3">
      <c r="B114" s="31" t="s">
        <v>196</v>
      </c>
    </row>
    <row r="115" spans="2:2" ht="15.6" x14ac:dyDescent="0.3">
      <c r="B115" s="31" t="s">
        <v>197</v>
      </c>
    </row>
    <row r="116" spans="2:2" ht="15.6" x14ac:dyDescent="0.3">
      <c r="B116" s="31" t="s">
        <v>198</v>
      </c>
    </row>
    <row r="117" spans="2:2" ht="15.6" x14ac:dyDescent="0.3">
      <c r="B117" s="31"/>
    </row>
    <row r="118" spans="2:2" ht="15.6" x14ac:dyDescent="0.3">
      <c r="B118" s="29" t="s">
        <v>209</v>
      </c>
    </row>
    <row r="119" spans="2:2" ht="15.6" x14ac:dyDescent="0.3">
      <c r="B119" s="30" t="s">
        <v>173</v>
      </c>
    </row>
    <row r="120" spans="2:2" ht="15.6" x14ac:dyDescent="0.3">
      <c r="B120" s="31" t="s">
        <v>199</v>
      </c>
    </row>
    <row r="121" spans="2:2" ht="15.6" x14ac:dyDescent="0.3">
      <c r="B121" s="31" t="s">
        <v>200</v>
      </c>
    </row>
    <row r="122" spans="2:2" ht="15.6" x14ac:dyDescent="0.3">
      <c r="B122" s="31" t="s">
        <v>201</v>
      </c>
    </row>
    <row r="123" spans="2:2" ht="31.2" x14ac:dyDescent="0.3">
      <c r="B123" s="31" t="s">
        <v>202</v>
      </c>
    </row>
    <row r="124" spans="2:2" ht="15.6" x14ac:dyDescent="0.3">
      <c r="B124" s="30" t="s">
        <v>174</v>
      </c>
    </row>
    <row r="125" spans="2:2" ht="15.6" x14ac:dyDescent="0.3">
      <c r="B125" s="31" t="s">
        <v>175</v>
      </c>
    </row>
    <row r="126" spans="2:2" ht="15.6" x14ac:dyDescent="0.3">
      <c r="B126" s="31" t="s">
        <v>176</v>
      </c>
    </row>
    <row r="127" spans="2:2" ht="15.6" x14ac:dyDescent="0.3">
      <c r="B127" s="31" t="s">
        <v>177</v>
      </c>
    </row>
    <row r="128" spans="2:2" ht="15.6" x14ac:dyDescent="0.3">
      <c r="B128" s="31" t="s">
        <v>178</v>
      </c>
    </row>
    <row r="129" spans="2:2" ht="15.6" x14ac:dyDescent="0.3">
      <c r="B129" s="31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F3CD-F8B2-4134-9E3F-FB9C46EB2062}">
  <dimension ref="B2:M64"/>
  <sheetViews>
    <sheetView workbookViewId="0">
      <selection activeCell="C11" sqref="C11"/>
    </sheetView>
  </sheetViews>
  <sheetFormatPr defaultRowHeight="14.4" x14ac:dyDescent="0.3"/>
  <cols>
    <col min="2" max="2" width="23.88671875" customWidth="1"/>
    <col min="3" max="5" width="21.88671875" customWidth="1"/>
    <col min="6" max="6" width="27.88671875" customWidth="1"/>
    <col min="7" max="7" width="22.33203125" customWidth="1"/>
    <col min="8" max="8" width="20.5546875" customWidth="1"/>
    <col min="12" max="12" width="10" customWidth="1"/>
    <col min="13" max="13" width="100.6640625" bestFit="1" customWidth="1"/>
  </cols>
  <sheetData>
    <row r="2" spans="2:13" x14ac:dyDescent="0.3">
      <c r="B2" s="1" t="s">
        <v>84</v>
      </c>
    </row>
    <row r="3" spans="2:13" x14ac:dyDescent="0.3">
      <c r="B3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L3" t="s">
        <v>30</v>
      </c>
      <c r="M3" t="s">
        <v>31</v>
      </c>
    </row>
    <row r="4" spans="2:13" x14ac:dyDescent="0.3">
      <c r="B4" t="s">
        <v>32</v>
      </c>
      <c r="C4" s="17">
        <v>8000</v>
      </c>
      <c r="D4" s="17">
        <v>100</v>
      </c>
      <c r="E4" s="17">
        <v>9500</v>
      </c>
      <c r="F4" s="17">
        <v>200</v>
      </c>
      <c r="G4" s="17">
        <v>9000</v>
      </c>
      <c r="H4" s="17">
        <v>50</v>
      </c>
      <c r="L4" t="s">
        <v>33</v>
      </c>
      <c r="M4" t="s">
        <v>34</v>
      </c>
    </row>
    <row r="5" spans="2:13" x14ac:dyDescent="0.3">
      <c r="B5" t="s">
        <v>33</v>
      </c>
      <c r="C5" s="16" t="s">
        <v>35</v>
      </c>
      <c r="D5" s="16" t="s">
        <v>36</v>
      </c>
      <c r="E5" s="16" t="s">
        <v>35</v>
      </c>
      <c r="F5" s="16" t="s">
        <v>37</v>
      </c>
      <c r="G5" s="16" t="s">
        <v>35</v>
      </c>
      <c r="H5" s="16" t="s">
        <v>38</v>
      </c>
      <c r="L5" t="s">
        <v>39</v>
      </c>
      <c r="M5" t="s">
        <v>40</v>
      </c>
    </row>
    <row r="6" spans="2:13" x14ac:dyDescent="0.3">
      <c r="B6" t="s">
        <v>39</v>
      </c>
      <c r="C6" s="16" t="s">
        <v>41</v>
      </c>
      <c r="D6" s="16" t="s">
        <v>42</v>
      </c>
      <c r="E6" s="16" t="s">
        <v>41</v>
      </c>
      <c r="F6" s="16" t="s">
        <v>42</v>
      </c>
      <c r="G6" s="16" t="s">
        <v>41</v>
      </c>
      <c r="H6" s="16" t="s">
        <v>42</v>
      </c>
      <c r="L6" t="s">
        <v>43</v>
      </c>
      <c r="M6" t="s">
        <v>44</v>
      </c>
    </row>
    <row r="7" spans="2:13" x14ac:dyDescent="0.3">
      <c r="B7" t="s">
        <v>43</v>
      </c>
      <c r="C7" s="16" t="s">
        <v>45</v>
      </c>
      <c r="D7" s="16" t="s">
        <v>46</v>
      </c>
      <c r="E7" s="16" t="s">
        <v>47</v>
      </c>
      <c r="F7" s="16" t="s">
        <v>46</v>
      </c>
      <c r="G7" s="16" t="s">
        <v>45</v>
      </c>
      <c r="H7" s="16" t="s">
        <v>48</v>
      </c>
      <c r="L7" t="s">
        <v>49</v>
      </c>
      <c r="M7" t="s">
        <v>50</v>
      </c>
    </row>
    <row r="8" spans="2:13" x14ac:dyDescent="0.3">
      <c r="B8" t="s">
        <v>49</v>
      </c>
      <c r="C8" s="16" t="s">
        <v>51</v>
      </c>
      <c r="D8" s="16" t="s">
        <v>52</v>
      </c>
      <c r="E8" s="16" t="s">
        <v>51</v>
      </c>
      <c r="F8" s="16" t="s">
        <v>52</v>
      </c>
      <c r="G8" s="16" t="s">
        <v>51</v>
      </c>
      <c r="H8" s="16" t="s">
        <v>52</v>
      </c>
      <c r="L8" t="s">
        <v>53</v>
      </c>
      <c r="M8" t="s">
        <v>54</v>
      </c>
    </row>
    <row r="9" spans="2:13" x14ac:dyDescent="0.3">
      <c r="B9" t="s">
        <v>53</v>
      </c>
      <c r="C9" s="16" t="s">
        <v>55</v>
      </c>
      <c r="D9" s="16" t="s">
        <v>56</v>
      </c>
      <c r="E9" s="16" t="s">
        <v>55</v>
      </c>
      <c r="F9" s="16" t="s">
        <v>56</v>
      </c>
      <c r="G9" s="16" t="s">
        <v>55</v>
      </c>
      <c r="H9" s="16" t="s">
        <v>56</v>
      </c>
    </row>
    <row r="10" spans="2:13" x14ac:dyDescent="0.3">
      <c r="B10" t="s">
        <v>57</v>
      </c>
      <c r="C10" s="16">
        <v>1</v>
      </c>
      <c r="D10" s="16">
        <v>0</v>
      </c>
      <c r="E10" s="16">
        <v>1</v>
      </c>
      <c r="F10" s="16">
        <v>0</v>
      </c>
      <c r="G10" s="16">
        <v>1</v>
      </c>
      <c r="H10" s="16">
        <v>0</v>
      </c>
    </row>
    <row r="12" spans="2:13" x14ac:dyDescent="0.3">
      <c r="B12" s="1" t="s">
        <v>85</v>
      </c>
    </row>
    <row r="13" spans="2:13" x14ac:dyDescent="0.3"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</row>
    <row r="14" spans="2:13" x14ac:dyDescent="0.3">
      <c r="B14" t="s">
        <v>58</v>
      </c>
      <c r="C14">
        <v>0.84126999999999996</v>
      </c>
      <c r="D14">
        <v>5.2909999999999997E-3</v>
      </c>
      <c r="E14">
        <v>1</v>
      </c>
      <c r="F14">
        <v>1.5873000000000002E-2</v>
      </c>
      <c r="G14">
        <v>0.94708999999999999</v>
      </c>
      <c r="H14">
        <v>0</v>
      </c>
    </row>
    <row r="15" spans="2:13" x14ac:dyDescent="0.3">
      <c r="B15" t="s">
        <v>59</v>
      </c>
      <c r="C15">
        <v>1</v>
      </c>
      <c r="D15">
        <v>3</v>
      </c>
      <c r="E15">
        <v>1</v>
      </c>
      <c r="F15">
        <v>2</v>
      </c>
      <c r="G15">
        <v>1</v>
      </c>
      <c r="H15">
        <v>4</v>
      </c>
    </row>
    <row r="16" spans="2:13" x14ac:dyDescent="0.3">
      <c r="B16" t="s">
        <v>60</v>
      </c>
      <c r="C16">
        <v>3</v>
      </c>
      <c r="D16">
        <v>1</v>
      </c>
      <c r="E16">
        <v>3</v>
      </c>
      <c r="F16">
        <v>1</v>
      </c>
      <c r="G16">
        <v>3</v>
      </c>
      <c r="H16">
        <v>1</v>
      </c>
    </row>
    <row r="17" spans="2:8" x14ac:dyDescent="0.3">
      <c r="B17" t="s">
        <v>61</v>
      </c>
      <c r="C17">
        <v>1</v>
      </c>
      <c r="D17">
        <v>0.1</v>
      </c>
      <c r="E17">
        <v>1</v>
      </c>
      <c r="F17">
        <v>0.2</v>
      </c>
      <c r="G17">
        <v>0.9</v>
      </c>
      <c r="H17">
        <v>0.3</v>
      </c>
    </row>
    <row r="18" spans="2:8" x14ac:dyDescent="0.3">
      <c r="B18" t="s">
        <v>62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</row>
    <row r="19" spans="2:8" x14ac:dyDescent="0.3">
      <c r="B19" t="s">
        <v>63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</row>
    <row r="20" spans="2:8" x14ac:dyDescent="0.3">
      <c r="B20" t="s">
        <v>57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</row>
    <row r="23" spans="2:8" ht="18" x14ac:dyDescent="0.3">
      <c r="B23" s="6" t="s">
        <v>64</v>
      </c>
    </row>
    <row r="25" spans="2:8" x14ac:dyDescent="0.3">
      <c r="B25" s="4" t="s">
        <v>30</v>
      </c>
      <c r="C25" s="4" t="s">
        <v>65</v>
      </c>
      <c r="D25" s="4" t="s">
        <v>66</v>
      </c>
      <c r="E25" s="4" t="s">
        <v>67</v>
      </c>
      <c r="F25" s="4" t="s">
        <v>68</v>
      </c>
    </row>
    <row r="26" spans="2:8" x14ac:dyDescent="0.3">
      <c r="B26" s="5" t="s">
        <v>69</v>
      </c>
      <c r="C26">
        <v>0.24835708000000001</v>
      </c>
      <c r="D26">
        <v>-6.9132150000000003E-2</v>
      </c>
      <c r="E26">
        <v>0.32384426999999999</v>
      </c>
      <c r="F26">
        <v>0.76151493000000003</v>
      </c>
    </row>
    <row r="27" spans="2:8" x14ac:dyDescent="0.3">
      <c r="B27" s="5" t="s">
        <v>33</v>
      </c>
      <c r="C27">
        <v>-0.11707669</v>
      </c>
      <c r="D27">
        <v>-0.11706848</v>
      </c>
      <c r="E27">
        <v>0.78960640999999998</v>
      </c>
      <c r="F27">
        <v>0.38371736000000001</v>
      </c>
    </row>
    <row r="28" spans="2:8" x14ac:dyDescent="0.3">
      <c r="B28" s="5" t="s">
        <v>70</v>
      </c>
      <c r="C28">
        <v>-0.23473719000000001</v>
      </c>
      <c r="D28">
        <v>0.27128002000000001</v>
      </c>
      <c r="E28">
        <v>-0.23170884999999999</v>
      </c>
      <c r="F28">
        <v>-0.23286488</v>
      </c>
    </row>
    <row r="29" spans="2:8" x14ac:dyDescent="0.3">
      <c r="B29" s="5" t="s">
        <v>43</v>
      </c>
      <c r="C29">
        <v>0.12098114</v>
      </c>
      <c r="D29">
        <v>-0.95664011999999998</v>
      </c>
      <c r="E29">
        <v>-0.86245892000000002</v>
      </c>
      <c r="F29">
        <v>-0.28114376000000002</v>
      </c>
    </row>
    <row r="30" spans="2:8" x14ac:dyDescent="0.3">
      <c r="B30" s="5" t="s">
        <v>49</v>
      </c>
      <c r="C30">
        <v>-0.50641555999999999</v>
      </c>
      <c r="D30">
        <v>0.15712366999999999</v>
      </c>
      <c r="E30">
        <v>-0.45401204000000001</v>
      </c>
      <c r="F30">
        <v>-0.70615185000000003</v>
      </c>
    </row>
    <row r="31" spans="2:8" x14ac:dyDescent="0.3">
      <c r="B31" s="5" t="s">
        <v>53</v>
      </c>
      <c r="C31">
        <v>0.73282438000000005</v>
      </c>
      <c r="D31">
        <v>-0.11288815000000001</v>
      </c>
      <c r="E31">
        <v>3.3764099999999998E-2</v>
      </c>
      <c r="F31">
        <v>-0.71237408999999996</v>
      </c>
    </row>
    <row r="33" spans="2:6" ht="18" x14ac:dyDescent="0.3">
      <c r="B33" s="6" t="s">
        <v>71</v>
      </c>
    </row>
    <row r="35" spans="2:6" x14ac:dyDescent="0.3">
      <c r="B35" s="11" t="s">
        <v>30</v>
      </c>
      <c r="C35" s="12" t="s">
        <v>72</v>
      </c>
      <c r="D35" s="12" t="s">
        <v>73</v>
      </c>
      <c r="E35" s="12" t="s">
        <v>74</v>
      </c>
      <c r="F35" s="13" t="s">
        <v>75</v>
      </c>
    </row>
    <row r="36" spans="2:6" x14ac:dyDescent="0.3">
      <c r="B36" s="14" t="s">
        <v>69</v>
      </c>
      <c r="C36" s="10">
        <v>-0.27219135999999999</v>
      </c>
      <c r="D36" s="10">
        <v>5.5461290000000003E-2</v>
      </c>
      <c r="E36" s="10">
        <v>-0.57549678999999998</v>
      </c>
      <c r="F36" s="7">
        <v>0.18784901000000001</v>
      </c>
    </row>
    <row r="37" spans="2:6" x14ac:dyDescent="0.3">
      <c r="B37" s="15" t="s">
        <v>33</v>
      </c>
      <c r="C37" s="8">
        <v>-0.30031933999999999</v>
      </c>
      <c r="D37" s="8">
        <v>-0.14584686999999999</v>
      </c>
      <c r="E37" s="8">
        <v>-0.30085330999999998</v>
      </c>
      <c r="F37" s="9">
        <v>0.92613909000000005</v>
      </c>
    </row>
    <row r="38" spans="2:6" x14ac:dyDescent="0.3">
      <c r="B38" s="14" t="s">
        <v>70</v>
      </c>
      <c r="C38" s="10">
        <v>-6.7486100000000004E-3</v>
      </c>
      <c r="D38" s="10">
        <v>-0.52885546000000005</v>
      </c>
      <c r="E38" s="10">
        <v>0.41127246000000001</v>
      </c>
      <c r="F38" s="7">
        <v>-0.61042182</v>
      </c>
    </row>
    <row r="39" spans="2:6" x14ac:dyDescent="0.3">
      <c r="B39" s="15" t="s">
        <v>43</v>
      </c>
      <c r="C39" s="8">
        <v>0.10443180000000001</v>
      </c>
      <c r="D39" s="8">
        <v>-0.97983505999999998</v>
      </c>
      <c r="E39" s="8">
        <v>-0.66409302000000003</v>
      </c>
      <c r="F39" s="9">
        <v>9.8430619999999996E-2</v>
      </c>
    </row>
    <row r="40" spans="2:6" x14ac:dyDescent="0.3">
      <c r="B40" s="14" t="s">
        <v>49</v>
      </c>
      <c r="C40" s="10">
        <v>0.36923328999999999</v>
      </c>
      <c r="D40" s="10">
        <v>8.5684140000000006E-2</v>
      </c>
      <c r="E40" s="10">
        <v>-5.7824140000000003E-2</v>
      </c>
      <c r="F40" s="7">
        <v>-0.15055184999999999</v>
      </c>
    </row>
    <row r="41" spans="2:6" x14ac:dyDescent="0.3">
      <c r="B41" s="15" t="s">
        <v>53</v>
      </c>
      <c r="C41" s="8">
        <v>-0.73926099999999995</v>
      </c>
      <c r="D41" s="8">
        <v>-0.35992210000000002</v>
      </c>
      <c r="E41" s="8">
        <v>-0.23031939000000001</v>
      </c>
      <c r="F41" s="9">
        <v>0.52856110999999995</v>
      </c>
    </row>
    <row r="43" spans="2:6" ht="18" x14ac:dyDescent="0.3">
      <c r="B43" s="6" t="s">
        <v>76</v>
      </c>
    </row>
    <row r="45" spans="2:6" x14ac:dyDescent="0.3">
      <c r="B45" s="11" t="s">
        <v>30</v>
      </c>
      <c r="C45" s="12" t="s">
        <v>77</v>
      </c>
      <c r="D45" s="12" t="s">
        <v>78</v>
      </c>
      <c r="E45" s="12" t="s">
        <v>79</v>
      </c>
      <c r="F45" s="13" t="s">
        <v>80</v>
      </c>
    </row>
    <row r="46" spans="2:6" x14ac:dyDescent="0.3">
      <c r="B46" s="14" t="s">
        <v>69</v>
      </c>
      <c r="C46" s="10">
        <v>0.17180914</v>
      </c>
      <c r="D46" s="10">
        <v>-0.88152008000000004</v>
      </c>
      <c r="E46" s="10">
        <v>0.16204198</v>
      </c>
      <c r="F46" s="7">
        <v>-0.19254114</v>
      </c>
    </row>
    <row r="47" spans="2:6" x14ac:dyDescent="0.3">
      <c r="B47" s="15" t="s">
        <v>33</v>
      </c>
      <c r="C47" s="8">
        <v>-0.33846100000000001</v>
      </c>
      <c r="D47" s="8">
        <v>0.30583813999999998</v>
      </c>
      <c r="E47" s="8">
        <v>0.51549975999999997</v>
      </c>
      <c r="F47" s="9">
        <v>0.46564006000000002</v>
      </c>
    </row>
    <row r="48" spans="2:6" x14ac:dyDescent="0.3">
      <c r="B48" s="14" t="s">
        <v>70</v>
      </c>
      <c r="C48" s="10">
        <v>-0.41960876000000003</v>
      </c>
      <c r="D48" s="10">
        <v>-0.15460619</v>
      </c>
      <c r="E48" s="10">
        <v>0.16563172000000001</v>
      </c>
      <c r="F48" s="7">
        <v>0.48777256000000002</v>
      </c>
    </row>
    <row r="49" spans="2:8" x14ac:dyDescent="0.3">
      <c r="B49" s="15" t="s">
        <v>43</v>
      </c>
      <c r="C49" s="8">
        <v>-0.23958711999999999</v>
      </c>
      <c r="D49" s="8">
        <v>-9.2829490000000001E-2</v>
      </c>
      <c r="E49" s="8">
        <v>-0.55316748999999998</v>
      </c>
      <c r="F49" s="9">
        <v>-0.59810331000000005</v>
      </c>
    </row>
    <row r="50" spans="2:8" x14ac:dyDescent="0.3">
      <c r="B50" s="14" t="s">
        <v>49</v>
      </c>
      <c r="C50" s="10">
        <v>0.40626290999999998</v>
      </c>
      <c r="D50" s="10">
        <v>0.67812001</v>
      </c>
      <c r="E50" s="10">
        <v>-3.6005059999999998E-2</v>
      </c>
      <c r="F50" s="7">
        <v>0.50176644999999997</v>
      </c>
    </row>
    <row r="51" spans="2:8" x14ac:dyDescent="0.3">
      <c r="B51" s="15" t="s">
        <v>53</v>
      </c>
      <c r="C51" s="8">
        <v>0.18081801</v>
      </c>
      <c r="D51" s="8">
        <v>-0.32255988000000002</v>
      </c>
      <c r="E51" s="8">
        <v>0.18069779999999999</v>
      </c>
      <c r="F51" s="9">
        <v>0.76901828000000005</v>
      </c>
    </row>
    <row r="57" spans="2:8" x14ac:dyDescent="0.3"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</row>
    <row r="58" spans="2:8" x14ac:dyDescent="0.3">
      <c r="B58" t="s">
        <v>58</v>
      </c>
      <c r="C58">
        <v>0.84126999999999996</v>
      </c>
      <c r="D58">
        <v>5.2909999999999997E-3</v>
      </c>
      <c r="E58">
        <v>1</v>
      </c>
      <c r="F58">
        <v>1.5873000000000002E-2</v>
      </c>
      <c r="G58">
        <v>0.94708999999999999</v>
      </c>
      <c r="H58">
        <v>0</v>
      </c>
    </row>
    <row r="59" spans="2:8" x14ac:dyDescent="0.3">
      <c r="B59" t="s">
        <v>59</v>
      </c>
      <c r="C59">
        <v>1</v>
      </c>
      <c r="D59">
        <v>3</v>
      </c>
      <c r="E59">
        <v>1</v>
      </c>
      <c r="F59">
        <v>2</v>
      </c>
      <c r="G59">
        <v>1</v>
      </c>
      <c r="H59">
        <v>4</v>
      </c>
    </row>
    <row r="60" spans="2:8" x14ac:dyDescent="0.3">
      <c r="B60" t="s">
        <v>60</v>
      </c>
      <c r="C60">
        <v>3</v>
      </c>
      <c r="D60">
        <v>1</v>
      </c>
      <c r="E60">
        <v>3</v>
      </c>
      <c r="F60">
        <v>1</v>
      </c>
      <c r="G60">
        <v>3</v>
      </c>
      <c r="H60">
        <v>1</v>
      </c>
    </row>
    <row r="61" spans="2:8" x14ac:dyDescent="0.3">
      <c r="B61" t="s">
        <v>61</v>
      </c>
      <c r="C61">
        <v>1</v>
      </c>
      <c r="D61">
        <v>0.1</v>
      </c>
      <c r="E61">
        <v>1</v>
      </c>
      <c r="F61">
        <v>0.2</v>
      </c>
      <c r="G61">
        <v>0.9</v>
      </c>
      <c r="H61">
        <v>0.3</v>
      </c>
    </row>
    <row r="62" spans="2:8" x14ac:dyDescent="0.3">
      <c r="B62" t="s">
        <v>62</v>
      </c>
      <c r="C62">
        <v>1</v>
      </c>
      <c r="D62">
        <v>0</v>
      </c>
      <c r="E62">
        <v>1</v>
      </c>
      <c r="F62">
        <v>0</v>
      </c>
      <c r="G62">
        <v>1</v>
      </c>
      <c r="H62">
        <v>0</v>
      </c>
    </row>
    <row r="63" spans="2:8" x14ac:dyDescent="0.3">
      <c r="B63" t="s">
        <v>63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</row>
    <row r="64" spans="2:8" x14ac:dyDescent="0.3">
      <c r="B64" t="s">
        <v>57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6ED71-DE7B-4D1E-BB8A-26702A678668}">
  <dimension ref="B2:M64"/>
  <sheetViews>
    <sheetView workbookViewId="0">
      <selection activeCell="H37" sqref="H37"/>
    </sheetView>
  </sheetViews>
  <sheetFormatPr defaultRowHeight="14.4" x14ac:dyDescent="0.3"/>
  <cols>
    <col min="2" max="2" width="23.88671875" customWidth="1"/>
    <col min="3" max="5" width="21.88671875" customWidth="1"/>
    <col min="6" max="6" width="27.88671875" customWidth="1"/>
    <col min="7" max="7" width="22.33203125" customWidth="1"/>
    <col min="8" max="8" width="20.5546875" customWidth="1"/>
    <col min="12" max="12" width="10" customWidth="1"/>
    <col min="13" max="13" width="100.6640625" bestFit="1" customWidth="1"/>
  </cols>
  <sheetData>
    <row r="2" spans="2:13" x14ac:dyDescent="0.3">
      <c r="B2" s="1" t="s">
        <v>84</v>
      </c>
    </row>
    <row r="3" spans="2:13" x14ac:dyDescent="0.3">
      <c r="B3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L3" t="s">
        <v>30</v>
      </c>
      <c r="M3" t="s">
        <v>31</v>
      </c>
    </row>
    <row r="4" spans="2:13" x14ac:dyDescent="0.3">
      <c r="B4" t="s">
        <v>32</v>
      </c>
      <c r="C4" s="17">
        <v>8000</v>
      </c>
      <c r="D4" s="17">
        <v>100</v>
      </c>
      <c r="E4" s="17">
        <v>9500</v>
      </c>
      <c r="F4" s="17">
        <v>200</v>
      </c>
      <c r="G4" s="17">
        <v>9000</v>
      </c>
      <c r="H4" s="17">
        <v>50</v>
      </c>
      <c r="L4" t="s">
        <v>33</v>
      </c>
      <c r="M4" t="s">
        <v>34</v>
      </c>
    </row>
    <row r="5" spans="2:13" x14ac:dyDescent="0.3">
      <c r="B5" t="s">
        <v>33</v>
      </c>
      <c r="C5" s="16" t="s">
        <v>35</v>
      </c>
      <c r="D5" s="16" t="s">
        <v>36</v>
      </c>
      <c r="E5" s="16" t="s">
        <v>35</v>
      </c>
      <c r="F5" s="16" t="s">
        <v>37</v>
      </c>
      <c r="G5" s="16" t="s">
        <v>35</v>
      </c>
      <c r="H5" s="16" t="s">
        <v>38</v>
      </c>
      <c r="L5" t="s">
        <v>39</v>
      </c>
      <c r="M5" t="s">
        <v>40</v>
      </c>
    </row>
    <row r="6" spans="2:13" x14ac:dyDescent="0.3">
      <c r="B6" t="s">
        <v>39</v>
      </c>
      <c r="C6" s="16" t="s">
        <v>41</v>
      </c>
      <c r="D6" s="16" t="s">
        <v>42</v>
      </c>
      <c r="E6" s="16" t="s">
        <v>41</v>
      </c>
      <c r="F6" s="16" t="s">
        <v>42</v>
      </c>
      <c r="G6" s="16" t="s">
        <v>41</v>
      </c>
      <c r="H6" s="16" t="s">
        <v>42</v>
      </c>
      <c r="L6" t="s">
        <v>43</v>
      </c>
      <c r="M6" t="s">
        <v>44</v>
      </c>
    </row>
    <row r="7" spans="2:13" x14ac:dyDescent="0.3">
      <c r="B7" t="s">
        <v>43</v>
      </c>
      <c r="C7" s="16" t="s">
        <v>46</v>
      </c>
      <c r="D7" s="16" t="s">
        <v>45</v>
      </c>
      <c r="E7" s="16" t="s">
        <v>46</v>
      </c>
      <c r="F7" s="16" t="s">
        <v>45</v>
      </c>
      <c r="G7" s="16" t="s">
        <v>46</v>
      </c>
      <c r="H7" s="16" t="s">
        <v>48</v>
      </c>
      <c r="L7" t="s">
        <v>49</v>
      </c>
      <c r="M7" t="s">
        <v>50</v>
      </c>
    </row>
    <row r="8" spans="2:13" x14ac:dyDescent="0.3">
      <c r="B8" t="s">
        <v>49</v>
      </c>
      <c r="C8" s="16" t="s">
        <v>51</v>
      </c>
      <c r="D8" s="16" t="s">
        <v>52</v>
      </c>
      <c r="E8" s="16" t="s">
        <v>51</v>
      </c>
      <c r="F8" s="16" t="s">
        <v>52</v>
      </c>
      <c r="G8" s="16" t="s">
        <v>51</v>
      </c>
      <c r="H8" s="16" t="s">
        <v>52</v>
      </c>
      <c r="L8" t="s">
        <v>53</v>
      </c>
      <c r="M8" t="s">
        <v>54</v>
      </c>
    </row>
    <row r="9" spans="2:13" x14ac:dyDescent="0.3">
      <c r="B9" t="s">
        <v>53</v>
      </c>
      <c r="C9" s="16" t="s">
        <v>55</v>
      </c>
      <c r="D9" s="16" t="s">
        <v>56</v>
      </c>
      <c r="E9" s="16" t="s">
        <v>55</v>
      </c>
      <c r="F9" s="16" t="s">
        <v>56</v>
      </c>
      <c r="G9" s="16" t="s">
        <v>55</v>
      </c>
      <c r="H9" s="16" t="s">
        <v>56</v>
      </c>
    </row>
    <row r="10" spans="2:13" x14ac:dyDescent="0.3">
      <c r="B10" t="s">
        <v>57</v>
      </c>
      <c r="C10" s="16">
        <v>1</v>
      </c>
      <c r="D10" s="16">
        <v>0</v>
      </c>
      <c r="E10" s="16">
        <v>1</v>
      </c>
      <c r="F10" s="16">
        <v>0</v>
      </c>
      <c r="G10" s="16">
        <v>1</v>
      </c>
      <c r="H10" s="16">
        <v>0</v>
      </c>
    </row>
    <row r="12" spans="2:13" x14ac:dyDescent="0.3">
      <c r="B12" s="1" t="s">
        <v>85</v>
      </c>
    </row>
    <row r="13" spans="2:13" x14ac:dyDescent="0.3"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29</v>
      </c>
    </row>
    <row r="14" spans="2:13" x14ac:dyDescent="0.3">
      <c r="B14" t="s">
        <v>58</v>
      </c>
      <c r="C14">
        <v>0.84126999999999996</v>
      </c>
      <c r="D14">
        <v>5.2909999999999997E-3</v>
      </c>
      <c r="E14">
        <v>1</v>
      </c>
      <c r="F14">
        <v>1.5873000000000002E-2</v>
      </c>
      <c r="G14">
        <v>0.94708999999999999</v>
      </c>
      <c r="H14">
        <v>0</v>
      </c>
    </row>
    <row r="15" spans="2:13" x14ac:dyDescent="0.3">
      <c r="B15" t="s">
        <v>59</v>
      </c>
      <c r="C15">
        <v>1</v>
      </c>
      <c r="D15">
        <v>3</v>
      </c>
      <c r="E15">
        <v>1</v>
      </c>
      <c r="F15">
        <v>2</v>
      </c>
      <c r="G15">
        <v>1</v>
      </c>
      <c r="H15">
        <v>4</v>
      </c>
    </row>
    <row r="16" spans="2:13" x14ac:dyDescent="0.3">
      <c r="B16" t="s">
        <v>60</v>
      </c>
      <c r="C16">
        <v>3</v>
      </c>
      <c r="D16">
        <v>1</v>
      </c>
      <c r="E16">
        <v>3</v>
      </c>
      <c r="F16">
        <v>1</v>
      </c>
      <c r="G16">
        <v>3</v>
      </c>
      <c r="H16">
        <v>1</v>
      </c>
    </row>
    <row r="17" spans="2:8" x14ac:dyDescent="0.3">
      <c r="B17" t="s">
        <v>61</v>
      </c>
      <c r="C17">
        <v>1</v>
      </c>
      <c r="D17">
        <v>0.1</v>
      </c>
      <c r="E17">
        <v>0.9</v>
      </c>
      <c r="F17">
        <v>0.2</v>
      </c>
      <c r="G17">
        <v>0.8</v>
      </c>
      <c r="H17">
        <v>0.3</v>
      </c>
    </row>
    <row r="18" spans="2:8" x14ac:dyDescent="0.3">
      <c r="B18" t="s">
        <v>62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</row>
    <row r="19" spans="2:8" x14ac:dyDescent="0.3">
      <c r="B19" t="s">
        <v>63</v>
      </c>
      <c r="C19">
        <v>1</v>
      </c>
      <c r="D19">
        <v>0</v>
      </c>
      <c r="E19">
        <v>1</v>
      </c>
      <c r="F19">
        <v>0</v>
      </c>
      <c r="G19">
        <v>1</v>
      </c>
      <c r="H19">
        <v>0</v>
      </c>
    </row>
    <row r="20" spans="2:8" x14ac:dyDescent="0.3">
      <c r="B20" t="s">
        <v>57</v>
      </c>
      <c r="C20">
        <v>1</v>
      </c>
      <c r="D20">
        <v>0</v>
      </c>
      <c r="E20">
        <v>1</v>
      </c>
      <c r="F20">
        <v>0</v>
      </c>
      <c r="G20">
        <v>1</v>
      </c>
      <c r="H20">
        <v>0</v>
      </c>
    </row>
    <row r="23" spans="2:8" ht="18" x14ac:dyDescent="0.3">
      <c r="B23" s="6" t="s">
        <v>64</v>
      </c>
    </row>
    <row r="25" spans="2:8" x14ac:dyDescent="0.3">
      <c r="B25" s="4" t="s">
        <v>30</v>
      </c>
      <c r="C25" s="4" t="s">
        <v>65</v>
      </c>
      <c r="D25" s="4" t="s">
        <v>66</v>
      </c>
      <c r="E25" s="4" t="s">
        <v>67</v>
      </c>
      <c r="F25" s="4" t="s">
        <v>68</v>
      </c>
    </row>
    <row r="26" spans="2:8" x14ac:dyDescent="0.3">
      <c r="B26" s="5" t="s">
        <v>69</v>
      </c>
      <c r="C26">
        <v>0.24835708000000001</v>
      </c>
      <c r="D26">
        <v>-6.9132150000000003E-2</v>
      </c>
      <c r="E26">
        <v>0.32384426999999999</v>
      </c>
      <c r="F26">
        <v>0.76151493000000003</v>
      </c>
    </row>
    <row r="27" spans="2:8" x14ac:dyDescent="0.3">
      <c r="B27" s="5" t="s">
        <v>33</v>
      </c>
      <c r="C27">
        <v>-0.11707669</v>
      </c>
      <c r="D27">
        <v>-0.11706848</v>
      </c>
      <c r="E27">
        <v>0.78960640999999998</v>
      </c>
      <c r="F27">
        <v>0.38371736000000001</v>
      </c>
    </row>
    <row r="28" spans="2:8" x14ac:dyDescent="0.3">
      <c r="B28" s="5" t="s">
        <v>70</v>
      </c>
      <c r="C28">
        <v>-0.23473719000000001</v>
      </c>
      <c r="D28">
        <v>0.27128002000000001</v>
      </c>
      <c r="E28">
        <v>-0.23170884999999999</v>
      </c>
      <c r="F28">
        <v>-0.23286488</v>
      </c>
    </row>
    <row r="29" spans="2:8" x14ac:dyDescent="0.3">
      <c r="B29" s="5" t="s">
        <v>43</v>
      </c>
      <c r="C29">
        <v>0.12098114</v>
      </c>
      <c r="D29">
        <v>-0.95664011999999998</v>
      </c>
      <c r="E29">
        <v>-0.86245892000000002</v>
      </c>
      <c r="F29">
        <v>-0.28114376000000002</v>
      </c>
    </row>
    <row r="30" spans="2:8" x14ac:dyDescent="0.3">
      <c r="B30" s="5" t="s">
        <v>49</v>
      </c>
      <c r="C30">
        <v>-0.50641555999999999</v>
      </c>
      <c r="D30">
        <v>0.15712366999999999</v>
      </c>
      <c r="E30">
        <v>-0.45401204000000001</v>
      </c>
      <c r="F30">
        <v>-0.70615185000000003</v>
      </c>
    </row>
    <row r="31" spans="2:8" x14ac:dyDescent="0.3">
      <c r="B31" s="5" t="s">
        <v>53</v>
      </c>
      <c r="C31">
        <v>0.73282438000000005</v>
      </c>
      <c r="D31">
        <v>-0.11288815000000001</v>
      </c>
      <c r="E31">
        <v>3.3764099999999998E-2</v>
      </c>
      <c r="F31">
        <v>-0.71237408999999996</v>
      </c>
    </row>
    <row r="33" spans="2:6" ht="18" x14ac:dyDescent="0.3">
      <c r="B33" s="6" t="s">
        <v>71</v>
      </c>
    </row>
    <row r="35" spans="2:6" x14ac:dyDescent="0.3">
      <c r="B35" s="11" t="s">
        <v>30</v>
      </c>
      <c r="C35" s="12" t="s">
        <v>72</v>
      </c>
      <c r="D35" s="12" t="s">
        <v>73</v>
      </c>
      <c r="E35" s="12" t="s">
        <v>74</v>
      </c>
      <c r="F35" s="13" t="s">
        <v>75</v>
      </c>
    </row>
    <row r="36" spans="2:6" x14ac:dyDescent="0.3">
      <c r="B36" s="14" t="s">
        <v>69</v>
      </c>
      <c r="C36" s="10">
        <v>-0.27219135999999999</v>
      </c>
      <c r="D36" s="10">
        <v>5.5461290000000003E-2</v>
      </c>
      <c r="E36" s="10">
        <v>-0.57549678999999998</v>
      </c>
      <c r="F36" s="7">
        <v>0.18784901000000001</v>
      </c>
    </row>
    <row r="37" spans="2:6" x14ac:dyDescent="0.3">
      <c r="B37" s="15" t="s">
        <v>33</v>
      </c>
      <c r="C37" s="8">
        <v>-0.30031933999999999</v>
      </c>
      <c r="D37" s="8">
        <v>-0.14584686999999999</v>
      </c>
      <c r="E37" s="8">
        <v>-0.30085330999999998</v>
      </c>
      <c r="F37" s="9">
        <v>0.92613909000000005</v>
      </c>
    </row>
    <row r="38" spans="2:6" x14ac:dyDescent="0.3">
      <c r="B38" s="14" t="s">
        <v>70</v>
      </c>
      <c r="C38" s="10">
        <v>-6.7486100000000004E-3</v>
      </c>
      <c r="D38" s="10">
        <v>-0.52885546000000005</v>
      </c>
      <c r="E38" s="10">
        <v>0.41127246000000001</v>
      </c>
      <c r="F38" s="7">
        <v>-0.61042182</v>
      </c>
    </row>
    <row r="39" spans="2:6" x14ac:dyDescent="0.3">
      <c r="B39" s="15" t="s">
        <v>43</v>
      </c>
      <c r="C39" s="8">
        <v>0.10443180000000001</v>
      </c>
      <c r="D39" s="8">
        <v>-0.97983505999999998</v>
      </c>
      <c r="E39" s="8">
        <v>-0.66409302000000003</v>
      </c>
      <c r="F39" s="9">
        <v>9.8430619999999996E-2</v>
      </c>
    </row>
    <row r="40" spans="2:6" x14ac:dyDescent="0.3">
      <c r="B40" s="14" t="s">
        <v>49</v>
      </c>
      <c r="C40" s="10">
        <v>0.36923328999999999</v>
      </c>
      <c r="D40" s="10">
        <v>8.5684140000000006E-2</v>
      </c>
      <c r="E40" s="10">
        <v>-5.7824140000000003E-2</v>
      </c>
      <c r="F40" s="7">
        <v>-0.15055184999999999</v>
      </c>
    </row>
    <row r="41" spans="2:6" x14ac:dyDescent="0.3">
      <c r="B41" s="15" t="s">
        <v>53</v>
      </c>
      <c r="C41" s="8">
        <v>-0.73926099999999995</v>
      </c>
      <c r="D41" s="8">
        <v>-0.35992210000000002</v>
      </c>
      <c r="E41" s="8">
        <v>-0.23031939000000001</v>
      </c>
      <c r="F41" s="9">
        <v>0.52856110999999995</v>
      </c>
    </row>
    <row r="43" spans="2:6" ht="18" x14ac:dyDescent="0.3">
      <c r="B43" s="6" t="s">
        <v>76</v>
      </c>
    </row>
    <row r="45" spans="2:6" x14ac:dyDescent="0.3">
      <c r="B45" s="11" t="s">
        <v>30</v>
      </c>
      <c r="C45" s="12" t="s">
        <v>77</v>
      </c>
      <c r="D45" s="12" t="s">
        <v>78</v>
      </c>
      <c r="E45" s="12" t="s">
        <v>79</v>
      </c>
      <c r="F45" s="13" t="s">
        <v>80</v>
      </c>
    </row>
    <row r="46" spans="2:6" x14ac:dyDescent="0.3">
      <c r="B46" s="14" t="s">
        <v>69</v>
      </c>
      <c r="C46" s="10">
        <v>0.17180914</v>
      </c>
      <c r="D46" s="10">
        <v>-0.88152008000000004</v>
      </c>
      <c r="E46" s="10">
        <v>0.16204198</v>
      </c>
      <c r="F46" s="7">
        <v>-0.19254114</v>
      </c>
    </row>
    <row r="47" spans="2:6" x14ac:dyDescent="0.3">
      <c r="B47" s="15" t="s">
        <v>33</v>
      </c>
      <c r="C47" s="8">
        <v>-0.33846100000000001</v>
      </c>
      <c r="D47" s="8">
        <v>0.30583813999999998</v>
      </c>
      <c r="E47" s="8">
        <v>0.51549975999999997</v>
      </c>
      <c r="F47" s="9">
        <v>0.46564006000000002</v>
      </c>
    </row>
    <row r="48" spans="2:6" x14ac:dyDescent="0.3">
      <c r="B48" s="14" t="s">
        <v>70</v>
      </c>
      <c r="C48" s="10">
        <v>-0.41960876000000003</v>
      </c>
      <c r="D48" s="10">
        <v>-0.15460619</v>
      </c>
      <c r="E48" s="10">
        <v>0.16563172000000001</v>
      </c>
      <c r="F48" s="7">
        <v>0.48777256000000002</v>
      </c>
    </row>
    <row r="49" spans="2:8" x14ac:dyDescent="0.3">
      <c r="B49" s="15" t="s">
        <v>43</v>
      </c>
      <c r="C49" s="8">
        <v>-0.23958711999999999</v>
      </c>
      <c r="D49" s="8">
        <v>-9.2829490000000001E-2</v>
      </c>
      <c r="E49" s="8">
        <v>-0.55316748999999998</v>
      </c>
      <c r="F49" s="9">
        <v>-0.59810331000000005</v>
      </c>
    </row>
    <row r="50" spans="2:8" x14ac:dyDescent="0.3">
      <c r="B50" s="14" t="s">
        <v>49</v>
      </c>
      <c r="C50" s="10">
        <v>0.40626290999999998</v>
      </c>
      <c r="D50" s="10">
        <v>0.67812001</v>
      </c>
      <c r="E50" s="10">
        <v>-3.6005059999999998E-2</v>
      </c>
      <c r="F50" s="7">
        <v>0.50176644999999997</v>
      </c>
    </row>
    <row r="51" spans="2:8" x14ac:dyDescent="0.3">
      <c r="B51" s="15" t="s">
        <v>53</v>
      </c>
      <c r="C51" s="8">
        <v>0.18081801</v>
      </c>
      <c r="D51" s="8">
        <v>-0.32255988000000002</v>
      </c>
      <c r="E51" s="8">
        <v>0.18069779999999999</v>
      </c>
      <c r="F51" s="9">
        <v>0.76901828000000005</v>
      </c>
    </row>
    <row r="57" spans="2:8" x14ac:dyDescent="0.3"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</row>
    <row r="58" spans="2:8" x14ac:dyDescent="0.3">
      <c r="B58" t="s">
        <v>58</v>
      </c>
      <c r="C58">
        <v>0.84126999999999996</v>
      </c>
      <c r="D58">
        <v>5.2909999999999997E-3</v>
      </c>
      <c r="E58">
        <v>1</v>
      </c>
      <c r="F58">
        <v>1.5873000000000002E-2</v>
      </c>
      <c r="G58">
        <v>0.94708999999999999</v>
      </c>
      <c r="H58">
        <v>0</v>
      </c>
    </row>
    <row r="59" spans="2:8" x14ac:dyDescent="0.3">
      <c r="B59" t="s">
        <v>59</v>
      </c>
      <c r="C59">
        <v>1</v>
      </c>
      <c r="D59">
        <v>3</v>
      </c>
      <c r="E59">
        <v>1</v>
      </c>
      <c r="F59">
        <v>2</v>
      </c>
      <c r="G59">
        <v>1</v>
      </c>
      <c r="H59">
        <v>4</v>
      </c>
    </row>
    <row r="60" spans="2:8" x14ac:dyDescent="0.3">
      <c r="B60" t="s">
        <v>60</v>
      </c>
      <c r="C60">
        <v>3</v>
      </c>
      <c r="D60">
        <v>1</v>
      </c>
      <c r="E60">
        <v>3</v>
      </c>
      <c r="F60">
        <v>1</v>
      </c>
      <c r="G60">
        <v>3</v>
      </c>
      <c r="H60">
        <v>1</v>
      </c>
    </row>
    <row r="61" spans="2:8" x14ac:dyDescent="0.3">
      <c r="B61" t="s">
        <v>61</v>
      </c>
      <c r="C61">
        <v>1</v>
      </c>
      <c r="D61">
        <v>0.1</v>
      </c>
      <c r="E61">
        <v>1</v>
      </c>
      <c r="F61">
        <v>0.2</v>
      </c>
      <c r="G61">
        <v>0.9</v>
      </c>
      <c r="H61">
        <v>0.3</v>
      </c>
    </row>
    <row r="62" spans="2:8" x14ac:dyDescent="0.3">
      <c r="B62" t="s">
        <v>62</v>
      </c>
      <c r="C62">
        <v>1</v>
      </c>
      <c r="D62">
        <v>0</v>
      </c>
      <c r="E62">
        <v>1</v>
      </c>
      <c r="F62">
        <v>0</v>
      </c>
      <c r="G62">
        <v>1</v>
      </c>
      <c r="H62">
        <v>0</v>
      </c>
    </row>
    <row r="63" spans="2:8" x14ac:dyDescent="0.3">
      <c r="B63" t="s">
        <v>63</v>
      </c>
      <c r="C63">
        <v>1</v>
      </c>
      <c r="D63">
        <v>0</v>
      </c>
      <c r="E63">
        <v>1</v>
      </c>
      <c r="F63">
        <v>0</v>
      </c>
      <c r="G63">
        <v>1</v>
      </c>
      <c r="H63">
        <v>0</v>
      </c>
    </row>
    <row r="64" spans="2:8" x14ac:dyDescent="0.3">
      <c r="B64" t="s">
        <v>57</v>
      </c>
      <c r="C64">
        <v>1</v>
      </c>
      <c r="D64">
        <v>0</v>
      </c>
      <c r="E64">
        <v>1</v>
      </c>
      <c r="F64">
        <v>0</v>
      </c>
      <c r="G64">
        <v>1</v>
      </c>
      <c r="H64">
        <v>0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1D50-F4F3-452D-8B09-4E0C27824925}">
  <dimension ref="B3:AT61"/>
  <sheetViews>
    <sheetView zoomScale="94"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1.8537652542762915</v>
      </c>
      <c r="S6" s="18">
        <v>-1.9505328479966875</v>
      </c>
      <c r="T6" s="18">
        <v>1.8341390058308438</v>
      </c>
      <c r="U6" s="18">
        <v>-0.99832437460665036</v>
      </c>
      <c r="V6" s="18">
        <v>1.7455433332253287</v>
      </c>
      <c r="W6" s="18">
        <v>-2.686957136086229</v>
      </c>
      <c r="X6" s="18"/>
      <c r="Z6">
        <f t="array" ref="Z6:AC11">MMULT(R29:W34,M27:P32)</f>
        <v>-1.1123971962583776</v>
      </c>
      <c r="AA6">
        <v>-0.51005120699743811</v>
      </c>
      <c r="AB6">
        <v>0.90301822346655414</v>
      </c>
      <c r="AC6">
        <v>2.3605532497182002</v>
      </c>
      <c r="AE6" s="25">
        <f>1/(1+EXP(-SUM(Z6:AC6)))</f>
        <v>0.83768769580799418</v>
      </c>
      <c r="AG6" s="25">
        <f t="shared" ref="AG6:AG11" si="0">AE6-J4</f>
        <v>-0.16231230419200582</v>
      </c>
      <c r="AI6" s="25">
        <f>-J4*LN(AE6)-(1-J4)*LN(1-AE6)</f>
        <v>0.17710992599519057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-0.29133520855256367</v>
      </c>
      <c r="S7" s="18">
        <v>1.4991390336204384</v>
      </c>
      <c r="T7" s="18">
        <v>-0.31273729948945728</v>
      </c>
      <c r="U7" s="18">
        <v>0.96547280621581399</v>
      </c>
      <c r="V7" s="18">
        <v>-0.15060704175839695</v>
      </c>
      <c r="W7" s="18">
        <v>1.6794754406161487</v>
      </c>
      <c r="X7" s="18"/>
      <c r="Z7">
        <v>-1.3827809829452913</v>
      </c>
      <c r="AA7">
        <v>0.32374324336931343</v>
      </c>
      <c r="AB7">
        <v>1.4016338171586806</v>
      </c>
      <c r="AC7">
        <v>2.0188206460249205</v>
      </c>
      <c r="AE7" s="25">
        <f t="shared" ref="AE7:AE11" si="1">1/(1+EXP(-SUM(Z7:AC7)))</f>
        <v>0.91383742174222971</v>
      </c>
      <c r="AG7" s="25">
        <f t="shared" si="0"/>
        <v>0.91383742174222971</v>
      </c>
      <c r="AI7" s="25">
        <f t="shared" ref="AI7:AI11" si="2">-J5*LN(AE7)-(1-J5)*LN(1-AE7)</f>
        <v>2.4515193225128913</v>
      </c>
      <c r="AM7" s="26">
        <f t="array" ref="AM7:AR12">MMULT(Z15:AC20,TRANSPOSE(M27:P32))</f>
        <v>-0.23337255130000462</v>
      </c>
      <c r="AN7" s="26">
        <v>-0.4500035621365352</v>
      </c>
      <c r="AO7" s="26">
        <v>-0.23838397482781518</v>
      </c>
      <c r="AP7" s="26">
        <v>-0.27069413999236386</v>
      </c>
      <c r="AQ7" s="26">
        <v>-0.26882292994758084</v>
      </c>
      <c r="AR7" s="26">
        <v>-0.55643107932557689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1.4728960107294156</v>
      </c>
      <c r="S8" s="18">
        <v>-1.8177693002125705</v>
      </c>
      <c r="T8" s="18">
        <v>1.4603908171633448</v>
      </c>
      <c r="U8" s="18">
        <v>-0.95783467086865048</v>
      </c>
      <c r="V8" s="18">
        <v>1.3903383246567722</v>
      </c>
      <c r="W8" s="18">
        <v>-2.5092682437686369</v>
      </c>
      <c r="X8" s="18"/>
      <c r="Z8">
        <v>-1.1235837867474636</v>
      </c>
      <c r="AA8">
        <v>-0.46649483543484821</v>
      </c>
      <c r="AB8">
        <v>0.9257226263189986</v>
      </c>
      <c r="AC8">
        <v>2.3362030940459926</v>
      </c>
      <c r="AE8" s="25">
        <f t="shared" si="1"/>
        <v>0.84182193194331778</v>
      </c>
      <c r="AG8" s="25">
        <f t="shared" si="0"/>
        <v>-0.15817806805668222</v>
      </c>
      <c r="AI8" s="25">
        <f t="shared" si="2"/>
        <v>0.17218676935792696</v>
      </c>
      <c r="AM8" s="26">
        <v>1.3139149964448975</v>
      </c>
      <c r="AN8" s="26">
        <v>2.5335731449613936</v>
      </c>
      <c r="AO8" s="26">
        <v>1.3421299021398798</v>
      </c>
      <c r="AP8" s="26">
        <v>1.5240399438771286</v>
      </c>
      <c r="AQ8" s="26">
        <v>1.5135048105649931</v>
      </c>
      <c r="AR8" s="26">
        <v>3.1327726227496631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/>
      <c r="M9" s="18">
        <f t="array" ref="M9:P14">MMULT(C4:H9,C13:F18)</f>
        <v>-0.26496293930839987</v>
      </c>
      <c r="N9" s="18">
        <v>-0.27379182383050005</v>
      </c>
      <c r="O9" s="18">
        <v>-0.91578653097710028</v>
      </c>
      <c r="P9" s="18">
        <v>-1.3739073148389001</v>
      </c>
      <c r="Q9" s="18"/>
      <c r="R9" s="18">
        <v>8.8931311001711921E-2</v>
      </c>
      <c r="S9" s="18">
        <v>0.96814028776812311</v>
      </c>
      <c r="T9" s="18">
        <v>7.6358464071818802E-2</v>
      </c>
      <c r="U9" s="18">
        <v>0.64600684662892238</v>
      </c>
      <c r="V9" s="18">
        <v>0.1644607985395351</v>
      </c>
      <c r="W9" s="18">
        <v>1.098956232017442</v>
      </c>
      <c r="X9" s="18"/>
      <c r="Z9">
        <v>-1.3303776923243837</v>
      </c>
      <c r="AA9">
        <v>0.17317286991214886</v>
      </c>
      <c r="AB9">
        <v>1.3071173202009976</v>
      </c>
      <c r="AC9">
        <v>2.0721262997533825</v>
      </c>
      <c r="AE9" s="25">
        <f t="shared" si="1"/>
        <v>0.90221121849233665</v>
      </c>
      <c r="AG9" s="25">
        <f t="shared" si="0"/>
        <v>0.90221121849233665</v>
      </c>
      <c r="AI9" s="25">
        <f t="shared" si="2"/>
        <v>2.3249454170314894</v>
      </c>
      <c r="AM9" s="26">
        <v>-0.22742834861383104</v>
      </c>
      <c r="AN9" s="26">
        <v>-0.43854157842020247</v>
      </c>
      <c r="AO9" s="26">
        <v>-0.23231212680790542</v>
      </c>
      <c r="AP9" s="26">
        <v>-0.26379932384920241</v>
      </c>
      <c r="AQ9" s="26">
        <v>-0.26197577515839027</v>
      </c>
      <c r="AR9" s="26">
        <v>-0.54225829380314561</v>
      </c>
    </row>
    <row r="10" spans="2:46" x14ac:dyDescent="0.3">
      <c r="L10" s="18"/>
      <c r="M10" s="18">
        <v>-0.57255508868971994</v>
      </c>
      <c r="N10" s="18">
        <v>-0.17595521020564997</v>
      </c>
      <c r="O10" s="18">
        <v>2.0525779480325697</v>
      </c>
      <c r="P10" s="18">
        <v>0.8942019994946302</v>
      </c>
      <c r="Q10" s="18"/>
      <c r="R10" s="18">
        <v>1.1699840506800814</v>
      </c>
      <c r="S10" s="18">
        <v>-1.9660601973803375</v>
      </c>
      <c r="T10" s="18">
        <v>1.1674723082355831</v>
      </c>
      <c r="U10" s="18">
        <v>-1.0821682196131932</v>
      </c>
      <c r="V10" s="18">
        <v>1.1136952854786444</v>
      </c>
      <c r="W10" s="18">
        <v>-2.7257884351031851</v>
      </c>
      <c r="X10" s="18"/>
      <c r="Z10">
        <v>-1.1259484811673792</v>
      </c>
      <c r="AA10">
        <v>-0.45332789376154092</v>
      </c>
      <c r="AB10">
        <v>0.93160739904969847</v>
      </c>
      <c r="AC10">
        <v>2.3267374553348139</v>
      </c>
      <c r="AE10" s="25">
        <f t="shared" si="1"/>
        <v>0.84278114303662177</v>
      </c>
      <c r="AG10" s="25">
        <f t="shared" si="0"/>
        <v>-0.15721885696337823</v>
      </c>
      <c r="AI10" s="25">
        <f t="shared" si="2"/>
        <v>0.17104797148771766</v>
      </c>
      <c r="AM10" s="26">
        <v>1.2971988471186557</v>
      </c>
      <c r="AN10" s="26">
        <v>2.5013400194283699</v>
      </c>
      <c r="AO10" s="26">
        <v>1.3250547915580779</v>
      </c>
      <c r="AP10" s="26">
        <v>1.5046505013713816</v>
      </c>
      <c r="AQ10" s="26">
        <v>1.4942494002166491</v>
      </c>
      <c r="AR10" s="26">
        <v>3.0929162430685282</v>
      </c>
    </row>
    <row r="11" spans="2:46" x14ac:dyDescent="0.3">
      <c r="L11" s="18"/>
      <c r="M11" s="18">
        <v>-0.23763933399999992</v>
      </c>
      <c r="N11" s="18">
        <v>-0.18910115800000005</v>
      </c>
      <c r="O11" s="18">
        <v>-0.77813683800000022</v>
      </c>
      <c r="P11" s="18">
        <v>-1.2249176740000001</v>
      </c>
      <c r="Q11" s="18"/>
      <c r="R11" s="18">
        <v>0.29365318257688233</v>
      </c>
      <c r="S11" s="18">
        <v>2.2712459983859388</v>
      </c>
      <c r="T11" s="18">
        <v>0.23552398154386162</v>
      </c>
      <c r="U11" s="18">
        <v>1.5384425539864903</v>
      </c>
      <c r="V11" s="18">
        <v>0.42121166328611592</v>
      </c>
      <c r="W11" s="18">
        <v>2.6237536375706982</v>
      </c>
      <c r="X11" s="18"/>
      <c r="Z11">
        <v>-1.4080678038929428</v>
      </c>
      <c r="AA11">
        <v>0.3706148578400898</v>
      </c>
      <c r="AB11">
        <v>1.4412050684114717</v>
      </c>
      <c r="AC11">
        <v>2.021573745996605</v>
      </c>
      <c r="AE11" s="25">
        <f t="shared" si="1"/>
        <v>0.91873825247598717</v>
      </c>
      <c r="AG11" s="25">
        <f t="shared" si="0"/>
        <v>0.91873825247598717</v>
      </c>
      <c r="AI11" s="25">
        <f t="shared" si="2"/>
        <v>2.5100798833127538</v>
      </c>
      <c r="AM11" s="26">
        <v>-0.22604919537468532</v>
      </c>
      <c r="AN11" s="26">
        <v>-0.43588220881186368</v>
      </c>
      <c r="AO11" s="26">
        <v>-0.23090335774225124</v>
      </c>
      <c r="AP11" s="26">
        <v>-0.26219961258106644</v>
      </c>
      <c r="AQ11" s="26">
        <v>-0.26038712211188325</v>
      </c>
      <c r="AR11" s="26">
        <v>-0.53896997338526265</v>
      </c>
    </row>
    <row r="12" spans="2:46" x14ac:dyDescent="0.3">
      <c r="B12" t="s">
        <v>2</v>
      </c>
      <c r="L12" s="18"/>
      <c r="M12" s="18">
        <v>-0.44075217006916001</v>
      </c>
      <c r="N12" s="18">
        <v>-0.15528229861695</v>
      </c>
      <c r="O12" s="18">
        <v>1.1801525660977099</v>
      </c>
      <c r="P12" s="18">
        <v>0.49042861448389008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1.3011482149496616</v>
      </c>
      <c r="AM12" s="26">
        <v>1.3209614084684338</v>
      </c>
      <c r="AN12" s="26">
        <v>2.5471604777184358</v>
      </c>
      <c r="AO12" s="26">
        <v>1.3493276282524327</v>
      </c>
      <c r="AP12" s="26">
        <v>1.5322132377461708</v>
      </c>
      <c r="AQ12" s="26">
        <v>1.5216216054289697</v>
      </c>
      <c r="AR12" s="26">
        <v>3.1495734102706807</v>
      </c>
    </row>
    <row r="13" spans="2:46" x14ac:dyDescent="0.3">
      <c r="C13" s="22">
        <f>Data!C26</f>
        <v>0.24835708000000001</v>
      </c>
      <c r="D13" s="22">
        <f>Data!D26</f>
        <v>-6.9132150000000003E-2</v>
      </c>
      <c r="E13" s="22">
        <f>Data!E26</f>
        <v>0.32384426999999999</v>
      </c>
      <c r="F13" s="22">
        <f>Data!F26</f>
        <v>0.76151493000000003</v>
      </c>
      <c r="L13" s="18"/>
      <c r="M13" s="18">
        <v>-0.2628780211027999</v>
      </c>
      <c r="N13" s="18">
        <v>-8.9779363943500154E-2</v>
      </c>
      <c r="O13" s="18">
        <v>-0.70902554632570025</v>
      </c>
      <c r="P13" s="18">
        <v>-1.2370950529463001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Data!C27</f>
        <v>-0.11707669</v>
      </c>
      <c r="D14" s="22">
        <f>Data!D27</f>
        <v>-0.11706848</v>
      </c>
      <c r="E14" s="22">
        <f>Data!E27</f>
        <v>0.78960640999999998</v>
      </c>
      <c r="F14" s="22">
        <f>Data!F27</f>
        <v>0.38371736000000001</v>
      </c>
      <c r="L14" s="18"/>
      <c r="M14" s="18">
        <v>-0.66674960799999994</v>
      </c>
      <c r="N14" s="18">
        <v>-0.48398593600000001</v>
      </c>
      <c r="O14" s="18">
        <v>2.667979114</v>
      </c>
      <c r="P14" s="18">
        <v>1.2176614320000001</v>
      </c>
      <c r="Q14" s="18"/>
      <c r="R14" s="23">
        <f>R6/SQRT(4)</f>
        <v>0.92688262713814573</v>
      </c>
      <c r="S14" s="23">
        <f t="shared" ref="S14:V14" si="3">S6/SQRT(4)</f>
        <v>-0.97526642399834373</v>
      </c>
      <c r="T14" s="23">
        <f t="shared" si="3"/>
        <v>0.91706950291542189</v>
      </c>
      <c r="U14" s="23">
        <f t="shared" si="3"/>
        <v>-0.49916218730332518</v>
      </c>
      <c r="V14" s="23">
        <f t="shared" si="3"/>
        <v>0.87277166661266437</v>
      </c>
      <c r="W14" s="23">
        <f t="shared" ref="W14" si="4">W6/SQRT(4)</f>
        <v>-1.3434785680431145</v>
      </c>
      <c r="X14" s="18"/>
      <c r="Z14" s="1" t="s">
        <v>83</v>
      </c>
    </row>
    <row r="15" spans="2:46" x14ac:dyDescent="0.3">
      <c r="C15" s="22">
        <f>Data!C28</f>
        <v>-0.23473719000000001</v>
      </c>
      <c r="D15" s="22">
        <f>Data!D28</f>
        <v>0.27128002000000001</v>
      </c>
      <c r="E15" s="22">
        <f>Data!E28</f>
        <v>-0.23170884999999999</v>
      </c>
      <c r="F15" s="22">
        <f>Data!F28</f>
        <v>-0.23286488</v>
      </c>
      <c r="L15" s="18"/>
      <c r="M15" s="18"/>
      <c r="N15" s="18"/>
      <c r="O15" s="18"/>
      <c r="P15" s="18"/>
      <c r="Q15" s="18"/>
      <c r="R15" s="23">
        <f t="shared" ref="R15:V15" si="5">R7/SQRT(4)</f>
        <v>-0.14566760427628184</v>
      </c>
      <c r="S15" s="23">
        <f t="shared" si="5"/>
        <v>0.74956951681021922</v>
      </c>
      <c r="T15" s="23">
        <f t="shared" si="5"/>
        <v>-0.15636864974472864</v>
      </c>
      <c r="U15" s="23">
        <f t="shared" si="5"/>
        <v>0.482736403107907</v>
      </c>
      <c r="V15" s="23">
        <f t="shared" si="5"/>
        <v>-7.5303520879198477E-2</v>
      </c>
      <c r="W15" s="23">
        <f t="shared" ref="W15" si="6">W7/SQRT(4)</f>
        <v>0.83973772030807436</v>
      </c>
      <c r="X15" s="18"/>
      <c r="Z15" s="26">
        <f t="shared" ref="Z15:Z20" si="7">AG6</f>
        <v>-0.16231230419200582</v>
      </c>
      <c r="AA15" s="26">
        <f>Z15</f>
        <v>-0.16231230419200582</v>
      </c>
      <c r="AB15" s="26">
        <f>AA15</f>
        <v>-0.16231230419200582</v>
      </c>
      <c r="AC15" s="26">
        <f>AB15</f>
        <v>-0.16231230419200582</v>
      </c>
      <c r="AF15">
        <f t="shared" ref="AF15:AK20" si="8">R29*AM7</f>
        <v>-6.8031869977720066E-2</v>
      </c>
      <c r="AG15">
        <f t="shared" si="8"/>
        <v>-1.9578785541679945E-2</v>
      </c>
      <c r="AH15">
        <f t="shared" si="8"/>
        <v>-6.8814174697596472E-2</v>
      </c>
      <c r="AI15">
        <f t="shared" si="8"/>
        <v>-1.8959116480448641E-2</v>
      </c>
      <c r="AJ15">
        <f t="shared" si="8"/>
        <v>-7.4238442694585738E-2</v>
      </c>
      <c r="AK15">
        <f t="shared" si="8"/>
        <v>-1.6752077550793429E-2</v>
      </c>
      <c r="AM15">
        <f>SUM(AF15:AK15)</f>
        <v>-0.2663744669428243</v>
      </c>
      <c r="AO15">
        <f t="shared" ref="AO15:AT20" si="9">AM7-$AM15</f>
        <v>3.3001915642819679E-2</v>
      </c>
      <c r="AP15">
        <f t="shared" si="9"/>
        <v>-0.1836290951937109</v>
      </c>
      <c r="AQ15">
        <f t="shared" si="9"/>
        <v>2.7990492115009119E-2</v>
      </c>
      <c r="AR15">
        <f t="shared" si="9"/>
        <v>-4.319673049539563E-3</v>
      </c>
      <c r="AS15">
        <f t="shared" si="9"/>
        <v>-2.4484630047565403E-3</v>
      </c>
      <c r="AT15">
        <f t="shared" si="9"/>
        <v>-0.2900566123827526</v>
      </c>
    </row>
    <row r="16" spans="2:46" x14ac:dyDescent="0.3">
      <c r="C16" s="22">
        <f>Data!C29</f>
        <v>0.12098114</v>
      </c>
      <c r="D16" s="22">
        <f>Data!D29</f>
        <v>-0.95664011999999998</v>
      </c>
      <c r="E16" s="22">
        <f>Data!E29</f>
        <v>-0.86245892000000002</v>
      </c>
      <c r="F16" s="22">
        <f>Data!F29</f>
        <v>-0.28114376000000002</v>
      </c>
      <c r="L16" s="19" t="s">
        <v>3</v>
      </c>
      <c r="M16" s="20"/>
      <c r="N16" s="18"/>
      <c r="O16" s="18"/>
      <c r="P16" s="18"/>
      <c r="Q16" s="18"/>
      <c r="R16" s="23">
        <f t="shared" ref="R16:V16" si="10">R8/SQRT(4)</f>
        <v>0.73644800536470778</v>
      </c>
      <c r="S16" s="23">
        <f t="shared" si="10"/>
        <v>-0.90888465010628527</v>
      </c>
      <c r="T16" s="23">
        <f t="shared" si="10"/>
        <v>0.73019540858167242</v>
      </c>
      <c r="U16" s="23">
        <f t="shared" si="10"/>
        <v>-0.47891733543432524</v>
      </c>
      <c r="V16" s="23">
        <f t="shared" si="10"/>
        <v>0.6951691623283861</v>
      </c>
      <c r="W16" s="23">
        <f t="shared" ref="W16" si="11">W8/SQRT(4)</f>
        <v>-1.2546341218843184</v>
      </c>
      <c r="X16" s="18"/>
      <c r="Z16" s="26">
        <f t="shared" si="7"/>
        <v>0.91383742174222971</v>
      </c>
      <c r="AA16" s="26">
        <f t="shared" ref="AA16:AC20" si="12">Z16</f>
        <v>0.91383742174222971</v>
      </c>
      <c r="AB16" s="26">
        <f t="shared" si="12"/>
        <v>0.91383742174222971</v>
      </c>
      <c r="AC16" s="26">
        <f t="shared" si="12"/>
        <v>0.91383742174222971</v>
      </c>
      <c r="AF16">
        <f t="shared" si="8"/>
        <v>0.13056003174988812</v>
      </c>
      <c r="AG16">
        <f t="shared" si="8"/>
        <v>0.61627275204200505</v>
      </c>
      <c r="AH16">
        <f t="shared" si="8"/>
        <v>0.13194414550551309</v>
      </c>
      <c r="AI16">
        <f t="shared" si="8"/>
        <v>0.28389106235228889</v>
      </c>
      <c r="AJ16">
        <f t="shared" si="8"/>
        <v>0.16135614753928695</v>
      </c>
      <c r="AK16">
        <f t="shared" si="8"/>
        <v>0.83392683117159205</v>
      </c>
      <c r="AM16">
        <f>SUM(AF16:AK16)</f>
        <v>2.1579509703605741</v>
      </c>
      <c r="AO16">
        <f t="shared" si="9"/>
        <v>-0.84403597391567664</v>
      </c>
      <c r="AP16">
        <f t="shared" si="9"/>
        <v>0.37562217460081948</v>
      </c>
      <c r="AQ16">
        <f t="shared" si="9"/>
        <v>-0.81582106822069433</v>
      </c>
      <c r="AR16">
        <f t="shared" si="9"/>
        <v>-0.63391102648344555</v>
      </c>
      <c r="AS16">
        <f t="shared" si="9"/>
        <v>-0.64444615979558106</v>
      </c>
      <c r="AT16">
        <f t="shared" si="9"/>
        <v>0.97482165238908891</v>
      </c>
    </row>
    <row r="17" spans="2:46" x14ac:dyDescent="0.3">
      <c r="C17" s="22">
        <f>Data!C30</f>
        <v>-0.50641555999999999</v>
      </c>
      <c r="D17" s="22">
        <f>Data!D30</f>
        <v>0.15712366999999999</v>
      </c>
      <c r="E17" s="22">
        <f>Data!E30</f>
        <v>-0.45401204000000001</v>
      </c>
      <c r="F17" s="22">
        <f>Data!F30</f>
        <v>-0.70615185000000003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ref="R17:V17" si="13">R9/SQRT(4)</f>
        <v>4.4465655500855961E-2</v>
      </c>
      <c r="S17" s="23">
        <f t="shared" si="13"/>
        <v>0.48407014388406155</v>
      </c>
      <c r="T17" s="23">
        <f t="shared" si="13"/>
        <v>3.8179232035909401E-2</v>
      </c>
      <c r="U17" s="23">
        <f t="shared" si="13"/>
        <v>0.32300342331446119</v>
      </c>
      <c r="V17" s="23">
        <f t="shared" si="13"/>
        <v>8.2230399269767551E-2</v>
      </c>
      <c r="W17" s="23">
        <f t="shared" ref="W17" si="14">W9/SQRT(4)</f>
        <v>0.54947811600872098</v>
      </c>
      <c r="X17" s="18"/>
      <c r="Z17" s="26">
        <f t="shared" si="7"/>
        <v>-0.15817806805668222</v>
      </c>
      <c r="AA17" s="26">
        <f t="shared" si="12"/>
        <v>-0.15817806805668222</v>
      </c>
      <c r="AB17" s="26">
        <f t="shared" si="12"/>
        <v>-0.15817806805668222</v>
      </c>
      <c r="AC17" s="26">
        <f t="shared" si="12"/>
        <v>-0.15817806805668222</v>
      </c>
      <c r="AF17">
        <f t="shared" si="8"/>
        <v>-6.3537658650877904E-2</v>
      </c>
      <c r="AG17">
        <f t="shared" si="8"/>
        <v>-2.3639511155042685E-2</v>
      </c>
      <c r="AH17">
        <f t="shared" si="8"/>
        <v>-6.4497520870658201E-2</v>
      </c>
      <c r="AI17">
        <f t="shared" si="8"/>
        <v>-2.1859177985727545E-2</v>
      </c>
      <c r="AJ17">
        <f t="shared" si="8"/>
        <v>-7.0229660589791687E-2</v>
      </c>
      <c r="AK17">
        <f t="shared" si="8"/>
        <v>-2.0686014824608509E-2</v>
      </c>
      <c r="AM17">
        <f t="shared" ref="AM17:AM20" si="15">SUM(AF17:AK17)</f>
        <v>-0.26444954407670651</v>
      </c>
      <c r="AO17">
        <f t="shared" si="9"/>
        <v>3.7021195462875467E-2</v>
      </c>
      <c r="AP17">
        <f t="shared" si="9"/>
        <v>-0.17409203434349596</v>
      </c>
      <c r="AQ17">
        <f t="shared" si="9"/>
        <v>3.2137417268801094E-2</v>
      </c>
      <c r="AR17">
        <f t="shared" si="9"/>
        <v>6.502202275041058E-4</v>
      </c>
      <c r="AS17">
        <f t="shared" si="9"/>
        <v>2.4737689183162437E-3</v>
      </c>
      <c r="AT17">
        <f t="shared" si="9"/>
        <v>-0.2778087497264391</v>
      </c>
    </row>
    <row r="18" spans="2:46" x14ac:dyDescent="0.3">
      <c r="C18" s="22">
        <f>Data!C31</f>
        <v>0.73282438000000005</v>
      </c>
      <c r="D18" s="22">
        <f>Data!D31</f>
        <v>-0.11288815000000001</v>
      </c>
      <c r="E18" s="22">
        <f>Data!E31</f>
        <v>3.3764099999999998E-2</v>
      </c>
      <c r="F18" s="22">
        <f>Data!F31</f>
        <v>-0.71237408999999996</v>
      </c>
      <c r="L18" s="18"/>
      <c r="M18" s="18">
        <f t="array" ref="M18:P23">MMULT(C4:H9,C20:F25)</f>
        <v>-0.81514750542719994</v>
      </c>
      <c r="N18" s="18">
        <v>-2.9398283505617</v>
      </c>
      <c r="O18" s="18">
        <v>-0.50342066452329992</v>
      </c>
      <c r="P18" s="18">
        <v>-0.27065475335729994</v>
      </c>
      <c r="Q18" s="18"/>
      <c r="R18" s="23">
        <f t="shared" ref="R18:V18" si="16">R10/SQRT(4)</f>
        <v>0.58499202534004069</v>
      </c>
      <c r="S18" s="23">
        <f t="shared" si="16"/>
        <v>-0.98303009869016877</v>
      </c>
      <c r="T18" s="23">
        <f t="shared" si="16"/>
        <v>0.58373615411779156</v>
      </c>
      <c r="U18" s="23">
        <f t="shared" si="16"/>
        <v>-0.5410841098065966</v>
      </c>
      <c r="V18" s="23">
        <f t="shared" si="16"/>
        <v>0.55684764273932219</v>
      </c>
      <c r="W18" s="23">
        <f t="shared" ref="W18" si="17">W10/SQRT(4)</f>
        <v>-1.3628942175515926</v>
      </c>
      <c r="X18" s="18"/>
      <c r="Z18" s="26">
        <f t="shared" si="7"/>
        <v>0.90221121849233665</v>
      </c>
      <c r="AA18" s="26">
        <f t="shared" si="12"/>
        <v>0.90221121849233665</v>
      </c>
      <c r="AB18" s="26">
        <f t="shared" si="12"/>
        <v>0.90221121849233665</v>
      </c>
      <c r="AC18" s="26">
        <f t="shared" si="12"/>
        <v>0.90221121849233665</v>
      </c>
      <c r="AF18">
        <f t="shared" si="8"/>
        <v>0.17153006122610379</v>
      </c>
      <c r="AG18">
        <f t="shared" si="8"/>
        <v>0.51336259742528212</v>
      </c>
      <c r="AH18">
        <f t="shared" si="8"/>
        <v>0.17411547280158246</v>
      </c>
      <c r="AI18">
        <f t="shared" si="8"/>
        <v>0.26286740530368241</v>
      </c>
      <c r="AJ18">
        <f t="shared" si="8"/>
        <v>0.20519075932532396</v>
      </c>
      <c r="AK18">
        <f t="shared" si="8"/>
        <v>0.67768203498577095</v>
      </c>
      <c r="AM18">
        <f t="shared" si="15"/>
        <v>2.0047483310677459</v>
      </c>
      <c r="AO18">
        <f t="shared" si="9"/>
        <v>-0.70754948394909012</v>
      </c>
      <c r="AP18">
        <f t="shared" si="9"/>
        <v>0.49659168836062406</v>
      </c>
      <c r="AQ18">
        <f t="shared" si="9"/>
        <v>-0.67969353950966793</v>
      </c>
      <c r="AR18">
        <f t="shared" si="9"/>
        <v>-0.50009782969636429</v>
      </c>
      <c r="AS18">
        <f t="shared" si="9"/>
        <v>-0.51049893085109677</v>
      </c>
      <c r="AT18">
        <f t="shared" si="9"/>
        <v>1.0881679120007823</v>
      </c>
    </row>
    <row r="19" spans="2:46" x14ac:dyDescent="0.3">
      <c r="B19" t="s">
        <v>8</v>
      </c>
      <c r="C19" t="s">
        <v>9</v>
      </c>
      <c r="L19" s="18"/>
      <c r="M19" s="18">
        <v>-0.89870361448576008</v>
      </c>
      <c r="N19" s="18">
        <v>-1.0640861303146101</v>
      </c>
      <c r="O19" s="18">
        <v>-0.56074172551588997</v>
      </c>
      <c r="P19" s="18">
        <v>2.1788324211119101</v>
      </c>
      <c r="Q19" s="18"/>
      <c r="R19" s="23">
        <f t="shared" ref="R19:V19" si="18">R11/SQRT(4)</f>
        <v>0.14682659128844117</v>
      </c>
      <c r="S19" s="23">
        <f t="shared" si="18"/>
        <v>1.1356229991929694</v>
      </c>
      <c r="T19" s="23">
        <f t="shared" si="18"/>
        <v>0.11776199077193081</v>
      </c>
      <c r="U19" s="23">
        <f t="shared" si="18"/>
        <v>0.76922127699324516</v>
      </c>
      <c r="V19" s="23">
        <f t="shared" si="18"/>
        <v>0.21060583164305796</v>
      </c>
      <c r="W19" s="23">
        <f t="shared" ref="W19" si="19">W11/SQRT(4)</f>
        <v>1.3118768187853491</v>
      </c>
      <c r="X19" s="18"/>
      <c r="Z19" s="26">
        <f t="shared" si="7"/>
        <v>-0.15721885696337823</v>
      </c>
      <c r="AA19" s="26">
        <f t="shared" si="12"/>
        <v>-0.15721885696337823</v>
      </c>
      <c r="AB19" s="26">
        <f t="shared" si="12"/>
        <v>-0.15721885696337823</v>
      </c>
      <c r="AC19" s="26">
        <f t="shared" si="12"/>
        <v>-0.15721885696337823</v>
      </c>
      <c r="AF19">
        <f t="shared" si="8"/>
        <v>-6.1993647206812941E-2</v>
      </c>
      <c r="AG19">
        <f t="shared" si="8"/>
        <v>-2.4918965512020112E-2</v>
      </c>
      <c r="AH19">
        <f t="shared" si="8"/>
        <v>-6.3245415841363589E-2</v>
      </c>
      <c r="AI19">
        <f t="shared" si="8"/>
        <v>-2.331995005527162E-2</v>
      </c>
      <c r="AJ19">
        <f t="shared" si="8"/>
        <v>-6.9428978181659301E-2</v>
      </c>
      <c r="AK19">
        <f t="shared" si="8"/>
        <v>-2.1074270306118227E-2</v>
      </c>
      <c r="AM19">
        <f t="shared" si="15"/>
        <v>-0.26398122710324579</v>
      </c>
      <c r="AO19">
        <f t="shared" si="9"/>
        <v>3.7932031728560467E-2</v>
      </c>
      <c r="AP19">
        <f t="shared" si="9"/>
        <v>-0.17190098170861789</v>
      </c>
      <c r="AQ19">
        <f t="shared" si="9"/>
        <v>3.307786936099455E-2</v>
      </c>
      <c r="AR19">
        <f t="shared" si="9"/>
        <v>1.7816145221793422E-3</v>
      </c>
      <c r="AS19">
        <f t="shared" si="9"/>
        <v>3.5941049913625345E-3</v>
      </c>
      <c r="AT19">
        <f t="shared" si="9"/>
        <v>-0.27498874628201686</v>
      </c>
    </row>
    <row r="20" spans="2:46" x14ac:dyDescent="0.3">
      <c r="C20" s="22">
        <f>Data!C36</f>
        <v>-0.27219135999999999</v>
      </c>
      <c r="D20" s="22">
        <f>Data!D36</f>
        <v>5.5461290000000003E-2</v>
      </c>
      <c r="E20" s="22">
        <f>Data!E36</f>
        <v>-0.57549678999999998</v>
      </c>
      <c r="F20" s="22">
        <f>Data!F36</f>
        <v>0.18784901000000001</v>
      </c>
      <c r="L20" s="18"/>
      <c r="M20" s="18">
        <v>-0.86879561999999999</v>
      </c>
      <c r="N20" s="18">
        <v>-2.8330414739999998</v>
      </c>
      <c r="O20" s="18">
        <v>-0.52835996800000007</v>
      </c>
      <c r="P20" s="18">
        <v>-0.25068054200000012</v>
      </c>
      <c r="Q20" s="18"/>
      <c r="R20" s="18"/>
      <c r="S20" s="18"/>
      <c r="T20" s="18"/>
      <c r="U20" s="18"/>
      <c r="V20" s="18"/>
      <c r="W20" s="18"/>
      <c r="X20" s="18"/>
      <c r="Z20" s="26">
        <f t="shared" si="7"/>
        <v>0.91873825247598717</v>
      </c>
      <c r="AA20" s="26">
        <f t="shared" si="12"/>
        <v>0.91873825247598717</v>
      </c>
      <c r="AB20" s="26">
        <f t="shared" si="12"/>
        <v>0.91873825247598717</v>
      </c>
      <c r="AC20" s="26">
        <f t="shared" si="12"/>
        <v>0.91873825247598717</v>
      </c>
      <c r="AF20">
        <f t="shared" si="8"/>
        <v>0.12237155600999597</v>
      </c>
      <c r="AG20">
        <f t="shared" si="8"/>
        <v>0.63427191771099034</v>
      </c>
      <c r="AH20">
        <f t="shared" si="8"/>
        <v>0.12141858562458757</v>
      </c>
      <c r="AI20">
        <f t="shared" si="8"/>
        <v>0.26449175605100933</v>
      </c>
      <c r="AJ20">
        <f t="shared" si="8"/>
        <v>0.15024360325682568</v>
      </c>
      <c r="AK20">
        <f t="shared" si="8"/>
        <v>0.93544223132407534</v>
      </c>
      <c r="AM20">
        <f t="shared" si="15"/>
        <v>2.2282396499774846</v>
      </c>
      <c r="AO20">
        <f t="shared" si="9"/>
        <v>-0.90727824150905079</v>
      </c>
      <c r="AP20">
        <f t="shared" si="9"/>
        <v>0.31892082774095121</v>
      </c>
      <c r="AQ20">
        <f t="shared" si="9"/>
        <v>-0.8789120217250519</v>
      </c>
      <c r="AR20">
        <f t="shared" si="9"/>
        <v>-0.69602641223131378</v>
      </c>
      <c r="AS20">
        <f t="shared" si="9"/>
        <v>-0.70661804454851485</v>
      </c>
      <c r="AT20">
        <f t="shared" si="9"/>
        <v>0.92133376029319614</v>
      </c>
    </row>
    <row r="21" spans="2:46" x14ac:dyDescent="0.3">
      <c r="C21" s="22">
        <f>Data!C37</f>
        <v>-0.30031933999999999</v>
      </c>
      <c r="D21" s="22">
        <f>Data!D37</f>
        <v>-0.14584686999999999</v>
      </c>
      <c r="E21" s="22">
        <f>Data!E37</f>
        <v>-0.30085330999999998</v>
      </c>
      <c r="F21" s="22">
        <f>Data!F37</f>
        <v>0.92613909000000005</v>
      </c>
      <c r="L21" s="18"/>
      <c r="M21" s="18">
        <v>-0.59082142345728006</v>
      </c>
      <c r="N21" s="18">
        <v>-1.0156358749438299</v>
      </c>
      <c r="O21" s="18">
        <v>-0.33238762454766996</v>
      </c>
      <c r="P21" s="18">
        <v>1.26452421133573</v>
      </c>
      <c r="Q21" s="18"/>
      <c r="R21" s="23">
        <f>EXP(R14)</f>
        <v>2.5266204698996524</v>
      </c>
      <c r="S21" s="23">
        <f t="shared" ref="S21:W21" si="20">EXP(S14)</f>
        <v>0.37709187385387322</v>
      </c>
      <c r="T21" s="23">
        <f t="shared" si="20"/>
        <v>2.5019476859054208</v>
      </c>
      <c r="U21" s="23">
        <f t="shared" si="20"/>
        <v>0.6070390317307921</v>
      </c>
      <c r="V21" s="23">
        <f t="shared" si="20"/>
        <v>2.3935357514074203</v>
      </c>
      <c r="W21" s="23">
        <f t="shared" si="20"/>
        <v>0.26093640299335691</v>
      </c>
      <c r="X21" s="18"/>
      <c r="Z21" s="1" t="s">
        <v>81</v>
      </c>
    </row>
    <row r="22" spans="2:46" x14ac:dyDescent="0.3">
      <c r="C22" s="22">
        <f>Data!C38</f>
        <v>-6.7486100000000004E-3</v>
      </c>
      <c r="D22" s="22">
        <f>Data!D38</f>
        <v>-0.52885546000000005</v>
      </c>
      <c r="E22" s="22">
        <f>Data!E38</f>
        <v>0.41127246000000001</v>
      </c>
      <c r="F22" s="22">
        <f>Data!F38</f>
        <v>-0.61042182</v>
      </c>
      <c r="L22" s="18"/>
      <c r="M22" s="18">
        <v>-0.86483715514239989</v>
      </c>
      <c r="N22" s="18">
        <v>-2.7379924248538998</v>
      </c>
      <c r="O22" s="18">
        <v>-0.43150113084109998</v>
      </c>
      <c r="P22" s="18">
        <v>-0.27046269511909993</v>
      </c>
      <c r="Q22" s="18"/>
      <c r="R22" s="23">
        <f t="shared" ref="R22:W22" si="21">EXP(R15)</f>
        <v>0.86444499325414959</v>
      </c>
      <c r="S22" s="23">
        <f t="shared" si="21"/>
        <v>2.1160888798213642</v>
      </c>
      <c r="T22" s="23">
        <f t="shared" si="21"/>
        <v>0.85524384682311849</v>
      </c>
      <c r="U22" s="23">
        <f t="shared" si="21"/>
        <v>1.6205026892356615</v>
      </c>
      <c r="V22" s="23">
        <f t="shared" si="21"/>
        <v>0.92746193953973766</v>
      </c>
      <c r="W22" s="23">
        <f t="shared" si="21"/>
        <v>2.3157595204292494</v>
      </c>
      <c r="X22" s="18"/>
      <c r="Z22" s="26">
        <f t="shared" ref="Z22:AE27" si="22">R29*AO15/SQRT(4)</f>
        <v>4.810295858534307E-3</v>
      </c>
      <c r="AA22" s="26">
        <f t="shared" si="22"/>
        <v>-3.9946735720722696E-3</v>
      </c>
      <c r="AB22" s="26">
        <f t="shared" si="22"/>
        <v>4.0400002048484752E-3</v>
      </c>
      <c r="AC22" s="26">
        <f t="shared" si="22"/>
        <v>-1.5127254787633313E-4</v>
      </c>
      <c r="AD22" s="26">
        <f t="shared" si="22"/>
        <v>-3.3808514865877682E-4</v>
      </c>
      <c r="AE22" s="26">
        <f t="shared" si="22"/>
        <v>-4.3662647947754112E-3</v>
      </c>
    </row>
    <row r="23" spans="2:46" x14ac:dyDescent="0.3">
      <c r="C23" s="22">
        <f>Data!C39</f>
        <v>0.10443180000000001</v>
      </c>
      <c r="D23" s="22">
        <f>Data!D39</f>
        <v>-0.97983505999999998</v>
      </c>
      <c r="E23" s="22">
        <f>Data!E39</f>
        <v>-0.66409302000000003</v>
      </c>
      <c r="F23" s="22">
        <f>Data!F39</f>
        <v>9.8430619999999996E-2</v>
      </c>
      <c r="L23" s="18"/>
      <c r="M23" s="18">
        <v>-1.17669643</v>
      </c>
      <c r="N23" s="18">
        <v>-1.406193458</v>
      </c>
      <c r="O23" s="18">
        <v>-0.99136868599999994</v>
      </c>
      <c r="P23" s="18">
        <v>3.1236637260000002</v>
      </c>
      <c r="Q23" s="18"/>
      <c r="R23" s="23">
        <f t="shared" ref="R23:W23" si="23">EXP(R16)</f>
        <v>2.0885039690092517</v>
      </c>
      <c r="S23" s="23">
        <f t="shared" si="23"/>
        <v>0.40297342984839052</v>
      </c>
      <c r="T23" s="23">
        <f t="shared" si="23"/>
        <v>2.075486135853077</v>
      </c>
      <c r="U23" s="23">
        <f t="shared" si="23"/>
        <v>0.61945368944655443</v>
      </c>
      <c r="V23" s="23">
        <f t="shared" si="23"/>
        <v>2.0040480547041106</v>
      </c>
      <c r="W23" s="23">
        <f t="shared" si="23"/>
        <v>0.28518017032205073</v>
      </c>
      <c r="X23" s="18"/>
      <c r="Z23" s="26">
        <f t="shared" si="22"/>
        <v>-4.1934738491699639E-2</v>
      </c>
      <c r="AA23" s="26">
        <f t="shared" si="22"/>
        <v>4.5683644802127256E-2</v>
      </c>
      <c r="AB23" s="26">
        <f t="shared" si="22"/>
        <v>-4.0101488522142931E-2</v>
      </c>
      <c r="AC23" s="26">
        <f t="shared" si="22"/>
        <v>-5.9040996749532768E-2</v>
      </c>
      <c r="AD23" s="26">
        <f t="shared" si="22"/>
        <v>-3.4352500538893174E-2</v>
      </c>
      <c r="AE23" s="26">
        <f t="shared" si="22"/>
        <v>0.12974607950014133</v>
      </c>
    </row>
    <row r="24" spans="2:46" x14ac:dyDescent="0.3">
      <c r="C24" s="22">
        <f>Data!C40</f>
        <v>0.36923328999999999</v>
      </c>
      <c r="D24" s="22">
        <f>Data!D40</f>
        <v>8.5684140000000006E-2</v>
      </c>
      <c r="E24" s="22">
        <f>Data!E40</f>
        <v>-5.7824140000000003E-2</v>
      </c>
      <c r="F24" s="22">
        <f>Data!F40</f>
        <v>-0.15055184999999999</v>
      </c>
      <c r="L24" s="18"/>
      <c r="M24" s="18"/>
      <c r="N24" s="18"/>
      <c r="O24" s="18"/>
      <c r="P24" s="18"/>
      <c r="Q24" s="18"/>
      <c r="R24" s="23">
        <f t="shared" ref="R24:W24" si="24">EXP(R17)</f>
        <v>1.0454690699822806</v>
      </c>
      <c r="S24" s="23">
        <f t="shared" si="24"/>
        <v>1.6226654617184817</v>
      </c>
      <c r="T24" s="23">
        <f t="shared" si="24"/>
        <v>1.0389174234772909</v>
      </c>
      <c r="U24" s="23">
        <f t="shared" si="24"/>
        <v>1.3812700794193742</v>
      </c>
      <c r="V24" s="23">
        <f t="shared" si="24"/>
        <v>1.0857059268677838</v>
      </c>
      <c r="W24" s="23">
        <f t="shared" si="24"/>
        <v>1.7323486968603878</v>
      </c>
      <c r="X24" s="18"/>
      <c r="Z24" s="26">
        <f t="shared" si="22"/>
        <v>5.1713871522711301E-3</v>
      </c>
      <c r="AA24" s="26">
        <f t="shared" si="22"/>
        <v>-4.6922011393909363E-3</v>
      </c>
      <c r="AB24" s="26">
        <f t="shared" si="22"/>
        <v>4.4612043493052261E-3</v>
      </c>
      <c r="AC24" s="26">
        <f t="shared" si="22"/>
        <v>2.6939568069282373E-5</v>
      </c>
      <c r="AD24" s="26">
        <f t="shared" si="22"/>
        <v>3.315801840950518E-4</v>
      </c>
      <c r="AE24" s="26">
        <f t="shared" si="22"/>
        <v>-5.2989101143497697E-3</v>
      </c>
    </row>
    <row r="25" spans="2:46" x14ac:dyDescent="0.3">
      <c r="C25" s="22">
        <f>Data!C41</f>
        <v>-0.73926099999999995</v>
      </c>
      <c r="D25" s="22">
        <f>Data!D41</f>
        <v>-0.35992210000000002</v>
      </c>
      <c r="E25" s="22">
        <f>Data!E41</f>
        <v>-0.23031939000000001</v>
      </c>
      <c r="F25" s="22">
        <f>Data!F41</f>
        <v>0.52856110999999995</v>
      </c>
      <c r="L25" s="19" t="s">
        <v>4</v>
      </c>
      <c r="M25" s="20"/>
      <c r="N25" s="18"/>
      <c r="O25" s="18"/>
      <c r="P25" s="18"/>
      <c r="Q25" s="18"/>
      <c r="R25" s="23">
        <f t="shared" ref="R25:W25" si="25">EXP(R18)</f>
        <v>1.7949766712542359</v>
      </c>
      <c r="S25" s="23">
        <f t="shared" si="25"/>
        <v>0.37417559040250153</v>
      </c>
      <c r="T25" s="23">
        <f t="shared" si="25"/>
        <v>1.7927238266456564</v>
      </c>
      <c r="U25" s="23">
        <f t="shared" si="25"/>
        <v>0.58211683160537975</v>
      </c>
      <c r="V25" s="23">
        <f t="shared" si="25"/>
        <v>1.7451624445238321</v>
      </c>
      <c r="W25" s="23">
        <f t="shared" si="25"/>
        <v>0.25591901875067419</v>
      </c>
      <c r="X25" s="18"/>
      <c r="Z25" s="26">
        <f t="shared" si="22"/>
        <v>-4.6780031670496901E-2</v>
      </c>
      <c r="AA25" s="26">
        <f t="shared" si="22"/>
        <v>5.0959005376421319E-2</v>
      </c>
      <c r="AB25" s="26">
        <f t="shared" si="22"/>
        <v>-4.4656705045664428E-2</v>
      </c>
      <c r="AC25" s="26">
        <f t="shared" si="22"/>
        <v>-4.3684370147908193E-2</v>
      </c>
      <c r="AD25" s="26">
        <f t="shared" si="22"/>
        <v>-3.5050930333622714E-2</v>
      </c>
      <c r="AE25" s="26">
        <f t="shared" si="22"/>
        <v>0.1192130318212708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ref="R26:W26" si="26">EXP(R19)</f>
        <v>1.1581531117767789</v>
      </c>
      <c r="S26" s="23">
        <f t="shared" si="26"/>
        <v>3.11311240540372</v>
      </c>
      <c r="T26" s="23">
        <f t="shared" si="26"/>
        <v>1.1249763247541131</v>
      </c>
      <c r="U26" s="23">
        <f t="shared" si="26"/>
        <v>2.1580850487953405</v>
      </c>
      <c r="V26" s="23">
        <f t="shared" si="26"/>
        <v>1.2344256876081887</v>
      </c>
      <c r="W26" s="23">
        <f t="shared" si="26"/>
        <v>3.7131360601440289</v>
      </c>
      <c r="X26" s="18"/>
      <c r="Z26" s="26">
        <f t="shared" si="22"/>
        <v>5.2014009360224333E-3</v>
      </c>
      <c r="AA26" s="26">
        <f t="shared" si="22"/>
        <v>-4.9137066712997488E-3</v>
      </c>
      <c r="AB26" s="26">
        <f t="shared" si="22"/>
        <v>4.5300848444517804E-3</v>
      </c>
      <c r="AC26" s="26">
        <f t="shared" si="22"/>
        <v>7.9228114156963878E-5</v>
      </c>
      <c r="AD26" s="26">
        <f t="shared" si="22"/>
        <v>4.7916163250324236E-4</v>
      </c>
      <c r="AE26" s="26">
        <f t="shared" si="22"/>
        <v>-5.3761688558346763E-3</v>
      </c>
    </row>
    <row r="27" spans="2:46" x14ac:dyDescent="0.3">
      <c r="C27" s="22">
        <f>Data!C46</f>
        <v>0.17180914</v>
      </c>
      <c r="D27" s="22">
        <f>Data!D46</f>
        <v>-0.88152008000000004</v>
      </c>
      <c r="E27" s="22">
        <f>Data!E46</f>
        <v>0.16204198</v>
      </c>
      <c r="F27" s="22">
        <f>Data!F46</f>
        <v>-0.19254114</v>
      </c>
      <c r="L27" s="18"/>
      <c r="M27" s="18">
        <f t="array" ref="M27:P32">MMULT(C4:H9,C27:F32)</f>
        <v>-1.1052556047922</v>
      </c>
      <c r="N27" s="18">
        <v>-0.63684618770160006</v>
      </c>
      <c r="O27" s="18">
        <v>0.7402412265146</v>
      </c>
      <c r="P27" s="18">
        <v>2.4396600751522</v>
      </c>
      <c r="Q27" s="18"/>
      <c r="R27" s="18"/>
      <c r="S27" s="18"/>
      <c r="T27" s="18"/>
      <c r="U27" s="18"/>
      <c r="V27" s="18"/>
      <c r="W27" s="18"/>
      <c r="X27" s="18"/>
      <c r="Z27" s="26">
        <f t="shared" si="22"/>
        <v>-4.2024335243904504E-2</v>
      </c>
      <c r="AA27" s="26">
        <f t="shared" si="22"/>
        <v>3.9707455964929965E-2</v>
      </c>
      <c r="AB27" s="26">
        <f t="shared" si="22"/>
        <v>-3.954423385835322E-2</v>
      </c>
      <c r="AC27" s="26">
        <f t="shared" si="22"/>
        <v>-6.0074291062691208E-2</v>
      </c>
      <c r="AD27" s="26">
        <f t="shared" si="22"/>
        <v>-3.4885427743821848E-2</v>
      </c>
      <c r="AE27" s="26">
        <f t="shared" si="22"/>
        <v>0.1368208319438407</v>
      </c>
    </row>
    <row r="28" spans="2:46" x14ac:dyDescent="0.3">
      <c r="C28" s="22">
        <f>Data!C47</f>
        <v>-0.33846100000000001</v>
      </c>
      <c r="D28" s="22">
        <f>Data!D47</f>
        <v>0.30583813999999998</v>
      </c>
      <c r="E28" s="22">
        <f>Data!E47</f>
        <v>0.51549975999999997</v>
      </c>
      <c r="F28" s="22">
        <f>Data!F47</f>
        <v>0.46564006000000002</v>
      </c>
      <c r="L28" s="18"/>
      <c r="M28" s="18">
        <v>-1.45804142984026</v>
      </c>
      <c r="N28" s="18">
        <v>0.74896115825671994</v>
      </c>
      <c r="O28" s="18">
        <v>1.6576716151161799</v>
      </c>
      <c r="P28" s="18">
        <v>1.8238636738282601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Data!C48</f>
        <v>-0.41960876000000003</v>
      </c>
      <c r="D29" s="22">
        <f>Data!D48</f>
        <v>-0.15460619</v>
      </c>
      <c r="E29" s="22">
        <f>Data!E48</f>
        <v>0.16563172000000001</v>
      </c>
      <c r="F29" s="22">
        <f>Data!F48</f>
        <v>0.48777256000000002</v>
      </c>
      <c r="L29" s="18"/>
      <c r="M29" s="18">
        <v>-1.054025628</v>
      </c>
      <c r="N29" s="18">
        <v>-0.76748692100000016</v>
      </c>
      <c r="O29" s="18">
        <v>0.82127889899999995</v>
      </c>
      <c r="P29" s="18">
        <v>2.4689083510000001</v>
      </c>
      <c r="Q29" s="18"/>
      <c r="R29" s="24">
        <f t="shared" ref="R29:W34" si="27">R21/SUM($R21:$W21)</f>
        <v>0.29151615988576085</v>
      </c>
      <c r="S29" s="24">
        <f t="shared" si="27"/>
        <v>4.3508067911114806E-2</v>
      </c>
      <c r="T29" s="24">
        <f t="shared" si="27"/>
        <v>0.28866946592068943</v>
      </c>
      <c r="U29" s="24">
        <f t="shared" si="27"/>
        <v>7.003888773130984E-2</v>
      </c>
      <c r="V29" s="24">
        <f t="shared" si="27"/>
        <v>0.27616112475621729</v>
      </c>
      <c r="W29" s="24">
        <f t="shared" si="27"/>
        <v>3.0106293794907733E-2</v>
      </c>
      <c r="X29" s="18"/>
      <c r="Z29" s="1" t="s">
        <v>14</v>
      </c>
      <c r="AG29" s="1" t="s">
        <v>12</v>
      </c>
    </row>
    <row r="30" spans="2:46" x14ac:dyDescent="0.3">
      <c r="C30" s="22">
        <f>Data!C49</f>
        <v>-0.23958711999999999</v>
      </c>
      <c r="D30" s="22">
        <f>Data!D49</f>
        <v>-9.2829490000000001E-2</v>
      </c>
      <c r="E30" s="22">
        <f>Data!E49</f>
        <v>-0.55316748999999998</v>
      </c>
      <c r="F30" s="22">
        <f>Data!F49</f>
        <v>-0.59810331000000005</v>
      </c>
      <c r="L30" s="18"/>
      <c r="M30" s="18">
        <v>-1.1417210575207801</v>
      </c>
      <c r="N30" s="18">
        <v>0.42451182377016</v>
      </c>
      <c r="O30" s="18">
        <v>1.0885698343485397</v>
      </c>
      <c r="P30" s="18">
        <v>1.2963758124847802</v>
      </c>
      <c r="Q30" s="18"/>
      <c r="R30" s="24">
        <f t="shared" si="27"/>
        <v>9.9367182887133976E-2</v>
      </c>
      <c r="S30" s="24">
        <f t="shared" si="27"/>
        <v>0.24324253407390603</v>
      </c>
      <c r="T30" s="24">
        <f t="shared" si="27"/>
        <v>9.8309519291048156E-2</v>
      </c>
      <c r="U30" s="24">
        <f t="shared" si="27"/>
        <v>0.18627534238379306</v>
      </c>
      <c r="V30" s="24">
        <f t="shared" si="27"/>
        <v>0.10661092479716171</v>
      </c>
      <c r="W30" s="24">
        <f t="shared" si="27"/>
        <v>0.26619449656695698</v>
      </c>
      <c r="X30" s="18"/>
      <c r="Z30" s="28">
        <f t="array" ref="Z30:AC35">MMULT(TRANSPOSE(Z22:AE27),M9:P14)</f>
        <v>6.8777248327938786E-2</v>
      </c>
      <c r="AA30" s="28">
        <v>3.222002035830894E-2</v>
      </c>
      <c r="AB30" s="28">
        <v>-0.26551911975744069</v>
      </c>
      <c r="AC30" s="28">
        <v>-0.13098985691201398</v>
      </c>
      <c r="AG30" s="28">
        <f t="array" ref="AG30:AJ35">MMULT(TRANSPOSE(R29:W34),Z15:AC20)</f>
        <v>0.16059156487220269</v>
      </c>
      <c r="AH30" s="28">
        <v>0.16059156487220269</v>
      </c>
      <c r="AI30" s="28">
        <v>0.16059156487220269</v>
      </c>
      <c r="AJ30" s="28">
        <v>0.16059156487220269</v>
      </c>
    </row>
    <row r="31" spans="2:46" x14ac:dyDescent="0.3">
      <c r="C31" s="22">
        <f>Data!C50</f>
        <v>0.40626290999999998</v>
      </c>
      <c r="D31" s="22">
        <f>Data!D50</f>
        <v>0.67812001</v>
      </c>
      <c r="E31" s="22">
        <f>Data!E50</f>
        <v>-3.6005059999999998E-2</v>
      </c>
      <c r="F31" s="22">
        <f>Data!F50</f>
        <v>0.50176644999999997</v>
      </c>
      <c r="L31" s="18"/>
      <c r="M31" s="18">
        <v>-1.0391573375974001</v>
      </c>
      <c r="N31" s="18">
        <v>-0.71156274456720014</v>
      </c>
      <c r="O31" s="18">
        <v>0.86802200683820008</v>
      </c>
      <c r="P31" s="18">
        <v>2.5389060337173999</v>
      </c>
      <c r="Q31" s="18"/>
      <c r="R31" s="24">
        <f t="shared" si="27"/>
        <v>0.27937440094050731</v>
      </c>
      <c r="S31" s="24">
        <f t="shared" si="27"/>
        <v>5.3904834383552432E-2</v>
      </c>
      <c r="T31" s="24">
        <f t="shared" si="27"/>
        <v>0.27763303516217214</v>
      </c>
      <c r="U31" s="24">
        <f t="shared" si="27"/>
        <v>8.2862903766285134E-2</v>
      </c>
      <c r="V31" s="24">
        <f t="shared" si="27"/>
        <v>0.26807692637737557</v>
      </c>
      <c r="W31" s="24">
        <f t="shared" si="27"/>
        <v>3.814789937010736E-2</v>
      </c>
      <c r="X31" s="18"/>
      <c r="Z31" s="28">
        <v>-7.1626428713845974E-2</v>
      </c>
      <c r="AA31" s="28">
        <v>-3.2746997964081044E-2</v>
      </c>
      <c r="AB31" s="28">
        <v>0.27064069241979977</v>
      </c>
      <c r="AC31" s="28">
        <v>0.13150699218119441</v>
      </c>
      <c r="AG31" s="28">
        <v>0.61164924024042</v>
      </c>
      <c r="AH31" s="28">
        <v>0.61164924024042</v>
      </c>
      <c r="AI31" s="28">
        <v>0.61164924024042</v>
      </c>
      <c r="AJ31" s="28">
        <v>0.61164924024042</v>
      </c>
    </row>
    <row r="32" spans="2:46" x14ac:dyDescent="0.3">
      <c r="C32" s="22">
        <f>Data!C51</f>
        <v>0.18081801</v>
      </c>
      <c r="D32" s="22">
        <f>Data!D51</f>
        <v>-0.32255988000000002</v>
      </c>
      <c r="E32" s="22">
        <f>Data!E51</f>
        <v>0.18069779999999999</v>
      </c>
      <c r="F32" s="22">
        <f>Data!F51</f>
        <v>0.76901828000000005</v>
      </c>
      <c r="L32" s="18"/>
      <c r="M32" s="18">
        <v>-1.8453288960000001</v>
      </c>
      <c r="N32" s="18">
        <v>1.0408975229999999</v>
      </c>
      <c r="O32" s="18">
        <v>2.0616805129999998</v>
      </c>
      <c r="P32" s="18">
        <v>2.1709018070000003</v>
      </c>
      <c r="Q32" s="18"/>
      <c r="R32" s="24">
        <f t="shared" si="27"/>
        <v>0.13223112370713802</v>
      </c>
      <c r="S32" s="24">
        <f t="shared" si="27"/>
        <v>0.20523503139833052</v>
      </c>
      <c r="T32" s="24">
        <f t="shared" si="27"/>
        <v>0.13140247023056847</v>
      </c>
      <c r="U32" s="24">
        <f t="shared" si="27"/>
        <v>0.17470329825038941</v>
      </c>
      <c r="V32" s="24">
        <f t="shared" si="27"/>
        <v>0.13732028889927855</v>
      </c>
      <c r="W32" s="24">
        <f t="shared" si="27"/>
        <v>0.2191077875142951</v>
      </c>
      <c r="X32" s="18"/>
      <c r="Z32" s="28">
        <v>6.5687485699290421E-2</v>
      </c>
      <c r="AA32" s="28">
        <v>3.0772868619126731E-2</v>
      </c>
      <c r="AB32" s="28">
        <v>-0.25089949719068361</v>
      </c>
      <c r="AC32" s="28">
        <v>-0.12253058506815731</v>
      </c>
      <c r="AG32" s="28">
        <v>0.15723093232615365</v>
      </c>
      <c r="AH32" s="28">
        <v>0.15723093232615365</v>
      </c>
      <c r="AI32" s="28">
        <v>0.15723093232615365</v>
      </c>
      <c r="AJ32" s="28">
        <v>0.15723093232615365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27"/>
        <v>0.27424847544383452</v>
      </c>
      <c r="S33" s="24">
        <f t="shared" si="27"/>
        <v>5.7169035597816026E-2</v>
      </c>
      <c r="T33" s="24">
        <f t="shared" si="27"/>
        <v>0.27390427085933533</v>
      </c>
      <c r="U33" s="24">
        <f t="shared" si="27"/>
        <v>8.8939681587292943E-2</v>
      </c>
      <c r="V33" s="24">
        <f t="shared" si="27"/>
        <v>0.26663752653569028</v>
      </c>
      <c r="W33" s="24">
        <f t="shared" si="27"/>
        <v>3.9101009976030832E-2</v>
      </c>
      <c r="X33" s="18"/>
      <c r="Z33" s="28">
        <v>9.3125566476022881E-2</v>
      </c>
      <c r="AA33" s="28">
        <v>4.6276302227094196E-2</v>
      </c>
      <c r="AB33" s="28">
        <v>-0.33295602739537389</v>
      </c>
      <c r="AC33" s="28">
        <v>-0.14729196675468381</v>
      </c>
      <c r="AG33" s="28">
        <v>0.44797965273453855</v>
      </c>
      <c r="AH33" s="28">
        <v>0.44797965273453855</v>
      </c>
      <c r="AI33" s="28">
        <v>0.44797965273453855</v>
      </c>
      <c r="AJ33" s="28">
        <v>0.44797965273453855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27"/>
        <v>9.2638252128711004E-2</v>
      </c>
      <c r="S34" s="24">
        <f t="shared" si="27"/>
        <v>0.24901136903597285</v>
      </c>
      <c r="T34" s="24">
        <f t="shared" si="27"/>
        <v>8.9984510123639547E-2</v>
      </c>
      <c r="U34" s="24">
        <f t="shared" si="27"/>
        <v>0.17262072245248772</v>
      </c>
      <c r="V34" s="24">
        <f t="shared" si="27"/>
        <v>9.8739136406038069E-2</v>
      </c>
      <c r="W34" s="24">
        <f t="shared" si="27"/>
        <v>0.29700600985315073</v>
      </c>
      <c r="X34" s="18"/>
      <c r="Z34" s="28">
        <v>5.8262140352220687E-2</v>
      </c>
      <c r="AA34" s="28">
        <v>2.8358190809718943E-2</v>
      </c>
      <c r="AB34" s="28">
        <v>-0.20523836181551286</v>
      </c>
      <c r="AC34" s="28">
        <v>-9.0921123026080172E-2</v>
      </c>
      <c r="AG34" s="28">
        <v>0.18288369351253436</v>
      </c>
      <c r="AH34" s="28">
        <v>0.18288369351253436</v>
      </c>
      <c r="AI34" s="28">
        <v>0.18288369351253436</v>
      </c>
      <c r="AJ34" s="28">
        <v>0.18288369351253436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-0.21422601214162673</v>
      </c>
      <c r="AA35" s="28">
        <v>-0.10488038405016771</v>
      </c>
      <c r="AB35" s="28">
        <v>0.78397231373921095</v>
      </c>
      <c r="AC35" s="28">
        <v>0.36022653957974071</v>
      </c>
      <c r="AG35" s="28">
        <v>0.69674257981263799</v>
      </c>
      <c r="AH35" s="28">
        <v>0.69674257981263799</v>
      </c>
      <c r="AI35" s="28">
        <v>0.69674257981263799</v>
      </c>
      <c r="AJ35" s="28">
        <v>0.69674257981263799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1.6785242823647677E-3</v>
      </c>
      <c r="AA38" s="28">
        <v>-1.4117130138826896E-2</v>
      </c>
      <c r="AB38" s="28">
        <v>2.2085468742050664E-3</v>
      </c>
      <c r="AC38" s="28">
        <v>-2.4756994507153619E-2</v>
      </c>
      <c r="AF38">
        <f t="array" ref="AF38:AI43">MMULT(TRANSPOSE(C4:H9),AG30:AJ35)</f>
        <v>0.47588613255294521</v>
      </c>
      <c r="AG38">
        <v>0.47588613255294521</v>
      </c>
      <c r="AH38">
        <v>0.47588613255294521</v>
      </c>
      <c r="AI38">
        <v>0.47588613255294521</v>
      </c>
      <c r="AK38" s="22">
        <f t="shared" ref="AK38:AN43" si="28">C27-0.02*AF38</f>
        <v>0.16229141734894109</v>
      </c>
      <c r="AL38" s="22">
        <f t="shared" si="28"/>
        <v>-0.89103780265105892</v>
      </c>
      <c r="AM38" s="22">
        <f t="shared" si="28"/>
        <v>0.15252425734894109</v>
      </c>
      <c r="AN38" s="22">
        <f t="shared" si="28"/>
        <v>-0.20205886265105891</v>
      </c>
    </row>
    <row r="39" spans="12:40" x14ac:dyDescent="0.3">
      <c r="Z39" s="28">
        <v>-6.0112805625119128E-2</v>
      </c>
      <c r="AA39" s="28">
        <v>0.15985173287479268</v>
      </c>
      <c r="AB39" s="28">
        <v>-7.7496451561236648E-2</v>
      </c>
      <c r="AC39" s="28">
        <v>0.46085492774470166</v>
      </c>
      <c r="AF39">
        <v>6.0185835361517803</v>
      </c>
      <c r="AG39">
        <v>6.0185835361517803</v>
      </c>
      <c r="AH39">
        <v>6.0185835361517803</v>
      </c>
      <c r="AI39">
        <v>6.0185835361517803</v>
      </c>
      <c r="AK39" s="22">
        <f t="shared" si="28"/>
        <v>-0.45883267072303563</v>
      </c>
      <c r="AL39" s="22">
        <f t="shared" si="28"/>
        <v>0.18546646927696436</v>
      </c>
      <c r="AM39" s="22">
        <f t="shared" si="28"/>
        <v>0.39512808927696436</v>
      </c>
      <c r="AN39" s="22">
        <f t="shared" si="28"/>
        <v>0.3452683892769644</v>
      </c>
    </row>
    <row r="40" spans="12:40" x14ac:dyDescent="0.3">
      <c r="Z40" s="28">
        <v>2.0581092658693116E-3</v>
      </c>
      <c r="AA40" s="28">
        <v>-1.6332793441217675E-2</v>
      </c>
      <c r="AB40" s="28">
        <v>2.771749973282377E-3</v>
      </c>
      <c r="AC40" s="28">
        <v>-2.9349145253053655E-2</v>
      </c>
      <c r="AF40">
        <v>3.2584900449202681</v>
      </c>
      <c r="AG40">
        <v>3.2584900449202681</v>
      </c>
      <c r="AH40">
        <v>3.2584900449202681</v>
      </c>
      <c r="AI40">
        <v>3.2584900449202681</v>
      </c>
      <c r="AK40" s="22">
        <f t="shared" si="28"/>
        <v>-0.48477856089840538</v>
      </c>
      <c r="AL40" s="22">
        <f t="shared" si="28"/>
        <v>-0.21977599089840538</v>
      </c>
      <c r="AM40" s="22">
        <f t="shared" si="28"/>
        <v>0.10046191910159465</v>
      </c>
      <c r="AN40" s="22">
        <f t="shared" si="28"/>
        <v>0.42260275910159467</v>
      </c>
    </row>
    <row r="41" spans="12:40" x14ac:dyDescent="0.3">
      <c r="Z41" s="28">
        <v>-5.302140678019221E-2</v>
      </c>
      <c r="AA41" s="28">
        <v>0.18251479977464058</v>
      </c>
      <c r="AB41" s="28">
        <v>-6.9969397337866987E-2</v>
      </c>
      <c r="AC41" s="28">
        <v>0.46150838656243826</v>
      </c>
      <c r="AF41">
        <v>0.80818998729050961</v>
      </c>
      <c r="AG41">
        <v>0.80818998729050961</v>
      </c>
      <c r="AH41">
        <v>0.80818998729050961</v>
      </c>
      <c r="AI41">
        <v>0.80818998729050961</v>
      </c>
      <c r="AK41" s="22">
        <f t="shared" si="28"/>
        <v>-0.25575091974581016</v>
      </c>
      <c r="AL41" s="22">
        <f t="shared" si="28"/>
        <v>-0.10899328974581018</v>
      </c>
      <c r="AM41" s="22">
        <f t="shared" si="28"/>
        <v>-0.56933128974581015</v>
      </c>
      <c r="AN41" s="22">
        <f t="shared" si="28"/>
        <v>-0.61426710974581022</v>
      </c>
    </row>
    <row r="42" spans="12:40" x14ac:dyDescent="0.3">
      <c r="Z42" s="28">
        <v>2.105251326652703E-3</v>
      </c>
      <c r="AA42" s="28">
        <v>-1.6729011423001608E-2</v>
      </c>
      <c r="AB42" s="28">
        <v>2.8399843818073096E-3</v>
      </c>
      <c r="AC42" s="28">
        <v>-3.0072284532602758E-2</v>
      </c>
      <c r="AF42">
        <v>0.50070619071089073</v>
      </c>
      <c r="AG42">
        <v>0.50070619071089073</v>
      </c>
      <c r="AH42">
        <v>0.50070619071089073</v>
      </c>
      <c r="AI42">
        <v>0.50070619071089073</v>
      </c>
      <c r="AK42" s="22">
        <f t="shared" si="28"/>
        <v>0.39624878618578219</v>
      </c>
      <c r="AL42" s="22">
        <f t="shared" si="28"/>
        <v>0.66810588618578215</v>
      </c>
      <c r="AM42" s="22">
        <f t="shared" si="28"/>
        <v>-4.6019183814217809E-2</v>
      </c>
      <c r="AN42" s="22">
        <f t="shared" si="28"/>
        <v>0.49175232618578218</v>
      </c>
    </row>
    <row r="43" spans="12:40" x14ac:dyDescent="0.3">
      <c r="Z43" s="28">
        <v>-6.2406537237227125E-2</v>
      </c>
      <c r="AA43" s="28">
        <v>0.15745571684736206</v>
      </c>
      <c r="AB43" s="28">
        <v>-8.0834954420545016E-2</v>
      </c>
      <c r="AC43" s="28">
        <v>0.46865502946778442</v>
      </c>
      <c r="AF43">
        <v>0.50070619071089073</v>
      </c>
      <c r="AG43">
        <v>0.50070619071089073</v>
      </c>
      <c r="AH43">
        <v>0.50070619071089073</v>
      </c>
      <c r="AI43">
        <v>0.50070619071089073</v>
      </c>
      <c r="AK43" s="22">
        <f t="shared" si="28"/>
        <v>0.17080388618578218</v>
      </c>
      <c r="AL43" s="22">
        <f t="shared" si="28"/>
        <v>-0.33257400381421781</v>
      </c>
      <c r="AM43" s="22">
        <f t="shared" si="28"/>
        <v>0.17068367618578217</v>
      </c>
      <c r="AN43" s="22">
        <f t="shared" si="28"/>
        <v>0.75900415618578221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4.3043982234693308E-3</v>
      </c>
      <c r="AG48">
        <v>-4.0310158006255772E-2</v>
      </c>
      <c r="AH48">
        <v>5.7987970411562924E-3</v>
      </c>
      <c r="AI48">
        <v>-6.8893715937466724E-2</v>
      </c>
      <c r="AK48" s="22">
        <f t="shared" ref="AK48:AN53" si="29">C13-0.02*AF48</f>
        <v>0.24827099203553063</v>
      </c>
      <c r="AL48" s="22">
        <f t="shared" si="29"/>
        <v>-6.832594683987489E-2</v>
      </c>
      <c r="AM48" s="22">
        <f t="shared" si="29"/>
        <v>0.32372829405917686</v>
      </c>
      <c r="AN48" s="22">
        <f t="shared" si="29"/>
        <v>0.7628928043187494</v>
      </c>
    </row>
    <row r="49" spans="27:40" x14ac:dyDescent="0.3">
      <c r="AF49">
        <v>-0.53016549450976358</v>
      </c>
      <c r="AG49">
        <v>1.4272287305600613</v>
      </c>
      <c r="AH49">
        <v>-0.68794768581232923</v>
      </c>
      <c r="AI49">
        <v>4.0960232499373088</v>
      </c>
      <c r="AK49" s="22">
        <f t="shared" si="29"/>
        <v>-0.10647338010980473</v>
      </c>
      <c r="AL49" s="22">
        <f t="shared" si="29"/>
        <v>-0.14561305461120122</v>
      </c>
      <c r="AM49" s="22">
        <f t="shared" si="29"/>
        <v>0.80336536371624656</v>
      </c>
      <c r="AN49" s="22">
        <f t="shared" si="29"/>
        <v>0.30179689500125384</v>
      </c>
    </row>
    <row r="50" spans="27:40" x14ac:dyDescent="0.3">
      <c r="AF50">
        <v>-0.15801509501787814</v>
      </c>
      <c r="AG50">
        <v>0.35828544448765676</v>
      </c>
      <c r="AH50">
        <v>-0.20483995963176438</v>
      </c>
      <c r="AI50">
        <v>1.1384830708964944</v>
      </c>
      <c r="AK50" s="22">
        <f t="shared" si="29"/>
        <v>-0.23157688809964244</v>
      </c>
      <c r="AL50" s="22">
        <f t="shared" si="29"/>
        <v>0.26411431111024686</v>
      </c>
      <c r="AM50" s="22">
        <f t="shared" si="29"/>
        <v>-0.22761205080736471</v>
      </c>
      <c r="AN50" s="22">
        <f t="shared" si="29"/>
        <v>-0.25563454141792991</v>
      </c>
    </row>
    <row r="51" spans="27:40" x14ac:dyDescent="0.3">
      <c r="AF51">
        <v>-3.012249940674918E-2</v>
      </c>
      <c r="AG51">
        <v>5.7524994922291905E-2</v>
      </c>
      <c r="AH51">
        <v>-3.9018901594255515E-2</v>
      </c>
      <c r="AI51">
        <v>0.20375462606630901</v>
      </c>
      <c r="AK51" s="22">
        <f t="shared" si="29"/>
        <v>0.12158358998813498</v>
      </c>
      <c r="AL51" s="22">
        <f t="shared" si="29"/>
        <v>-0.95779061989844583</v>
      </c>
      <c r="AM51" s="22">
        <f t="shared" si="29"/>
        <v>-0.86167854196811489</v>
      </c>
      <c r="AN51" s="22">
        <f t="shared" si="29"/>
        <v>-0.28521885252132623</v>
      </c>
    </row>
    <row r="52" spans="27:40" x14ac:dyDescent="0.3">
      <c r="AF52">
        <v>5.8418848748867823E-3</v>
      </c>
      <c r="AG52">
        <v>-4.717893500304618E-2</v>
      </c>
      <c r="AH52">
        <v>7.8202812292947534E-3</v>
      </c>
      <c r="AI52">
        <v>-8.4178424292810028E-2</v>
      </c>
      <c r="AK52" s="22">
        <f t="shared" si="29"/>
        <v>-0.50653239769749769</v>
      </c>
      <c r="AL52" s="22">
        <f t="shared" si="29"/>
        <v>0.15806724870006092</v>
      </c>
      <c r="AM52" s="22">
        <f t="shared" si="29"/>
        <v>-0.45416844562458591</v>
      </c>
      <c r="AN52" s="22">
        <f t="shared" si="29"/>
        <v>-0.70446828151414387</v>
      </c>
    </row>
    <row r="53" spans="27:40" x14ac:dyDescent="0.3">
      <c r="AF53">
        <v>5.8418848748867823E-3</v>
      </c>
      <c r="AG53">
        <v>-4.717893500304618E-2</v>
      </c>
      <c r="AH53">
        <v>7.8202812292947534E-3</v>
      </c>
      <c r="AI53">
        <v>-8.4178424292810028E-2</v>
      </c>
      <c r="AK53" s="22">
        <f t="shared" si="29"/>
        <v>0.73270754230250235</v>
      </c>
      <c r="AL53" s="22">
        <f t="shared" si="29"/>
        <v>-0.11194457129993908</v>
      </c>
      <c r="AM53" s="22">
        <f t="shared" si="29"/>
        <v>3.3607694375414103E-2</v>
      </c>
      <c r="AN53" s="22">
        <f t="shared" si="29"/>
        <v>-0.7106905215141438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0.1798264185886691</v>
      </c>
      <c r="AG56">
        <v>8.5297643458960723E-2</v>
      </c>
      <c r="AH56">
        <v>-0.67250501828013343</v>
      </c>
      <c r="AI56">
        <v>-0.32048107029196393</v>
      </c>
      <c r="AK56" s="22">
        <f t="shared" ref="AK56:AN61" si="30">C20-0.02*AF56</f>
        <v>-0.27578788837177337</v>
      </c>
      <c r="AL56" s="22">
        <f t="shared" si="30"/>
        <v>5.3755337130820792E-2</v>
      </c>
      <c r="AM56" s="22">
        <f t="shared" si="30"/>
        <v>-0.5620466896343973</v>
      </c>
      <c r="AN56" s="22">
        <f t="shared" si="30"/>
        <v>0.19425863140583929</v>
      </c>
    </row>
    <row r="57" spans="27:40" x14ac:dyDescent="0.3">
      <c r="AF57">
        <v>-0.69280532737654921</v>
      </c>
      <c r="AG57">
        <v>-0.333858845851571</v>
      </c>
      <c r="AH57">
        <v>2.5602422986618585</v>
      </c>
      <c r="AI57">
        <v>1.196401636346927</v>
      </c>
      <c r="AK57" s="22">
        <f t="shared" si="30"/>
        <v>-0.28646323345246899</v>
      </c>
      <c r="AL57" s="22">
        <f t="shared" si="30"/>
        <v>-0.13916969308296856</v>
      </c>
      <c r="AM57" s="22">
        <f t="shared" si="30"/>
        <v>-0.35205815597323714</v>
      </c>
      <c r="AN57" s="22">
        <f t="shared" si="30"/>
        <v>0.9022110572730615</v>
      </c>
    </row>
    <row r="58" spans="27:40" x14ac:dyDescent="0.3">
      <c r="AF58">
        <v>0.38545374875889982</v>
      </c>
      <c r="AG58">
        <v>0.1827021595743093</v>
      </c>
      <c r="AH58">
        <v>-1.4433139575272746</v>
      </c>
      <c r="AI58">
        <v>-0.68888313001250323</v>
      </c>
      <c r="AK58" s="22">
        <f t="shared" si="30"/>
        <v>-1.4457684975177996E-2</v>
      </c>
      <c r="AL58" s="22">
        <f t="shared" si="30"/>
        <v>-0.53250950319148627</v>
      </c>
      <c r="AM58" s="22">
        <f t="shared" si="30"/>
        <v>0.44013873915054552</v>
      </c>
      <c r="AN58" s="22">
        <f t="shared" si="30"/>
        <v>-0.59664415739974996</v>
      </c>
    </row>
    <row r="59" spans="27:40" x14ac:dyDescent="0.3">
      <c r="AF59">
        <v>0.12170036452040867</v>
      </c>
      <c r="AG59">
        <v>5.7118600197258576E-2</v>
      </c>
      <c r="AH59">
        <v>-0.45985479879679786</v>
      </c>
      <c r="AI59">
        <v>-0.22224401415311479</v>
      </c>
      <c r="AK59" s="22">
        <f t="shared" si="30"/>
        <v>0.10199779270959183</v>
      </c>
      <c r="AL59" s="22">
        <f t="shared" si="30"/>
        <v>-0.98097743200394516</v>
      </c>
      <c r="AM59" s="22">
        <f t="shared" si="30"/>
        <v>-0.65489592402406405</v>
      </c>
      <c r="AN59" s="22">
        <f t="shared" si="30"/>
        <v>0.10287550028306229</v>
      </c>
    </row>
    <row r="60" spans="27:40" x14ac:dyDescent="0.3">
      <c r="AF60">
        <v>0.19272687437944988</v>
      </c>
      <c r="AG60">
        <v>9.1351079787154621E-2</v>
      </c>
      <c r="AH60">
        <v>-0.7216569787636371</v>
      </c>
      <c r="AI60">
        <v>-0.3444415650062515</v>
      </c>
      <c r="AK60" s="22">
        <f t="shared" si="30"/>
        <v>0.36537875251241098</v>
      </c>
      <c r="AL60" s="22">
        <f t="shared" si="30"/>
        <v>8.3857118404256914E-2</v>
      </c>
      <c r="AM60" s="22">
        <f t="shared" si="30"/>
        <v>-4.3391000424727259E-2</v>
      </c>
      <c r="AN60" s="22">
        <f t="shared" si="30"/>
        <v>-0.14366301869987497</v>
      </c>
    </row>
    <row r="61" spans="27:40" x14ac:dyDescent="0.3">
      <c r="AF61">
        <v>0.19272687437944988</v>
      </c>
      <c r="AG61">
        <v>9.1351079787154621E-2</v>
      </c>
      <c r="AH61">
        <v>-0.7216569787636371</v>
      </c>
      <c r="AI61">
        <v>-0.3444415650062515</v>
      </c>
      <c r="AK61" s="22">
        <f t="shared" si="30"/>
        <v>-0.74311553748758896</v>
      </c>
      <c r="AL61" s="22">
        <f t="shared" si="30"/>
        <v>-0.36174912159574313</v>
      </c>
      <c r="AM61" s="22">
        <f t="shared" si="30"/>
        <v>-0.21588625042472728</v>
      </c>
      <c r="AN61" s="22">
        <f t="shared" si="30"/>
        <v>0.53544994130012502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B262-6C7C-452E-967F-C9BE4C99AF89}">
  <dimension ref="B3:AT61"/>
  <sheetViews>
    <sheetView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1.8783287596207408</v>
      </c>
      <c r="S6" s="18">
        <v>-2.0739994050490882</v>
      </c>
      <c r="T6" s="18">
        <v>1.8469426962224473</v>
      </c>
      <c r="U6" s="18">
        <v>-1.0529662150218186</v>
      </c>
      <c r="V6" s="18">
        <v>1.7618005082960542</v>
      </c>
      <c r="W6" s="18">
        <v>-2.8785792215800496</v>
      </c>
      <c r="X6" s="18"/>
      <c r="Z6">
        <f t="array" ref="Z6:AC11">MMULT(R29:W34,M27:P32)</f>
        <v>-1.4731077819338698</v>
      </c>
      <c r="AA6">
        <v>-0.88472371881104273</v>
      </c>
      <c r="AB6">
        <v>0.53272167297612405</v>
      </c>
      <c r="AC6">
        <v>2.0013874314729931</v>
      </c>
      <c r="AE6" s="25">
        <f>1/(1+EXP(-SUM(Z6:AC6)))</f>
        <v>0.54395563746362763</v>
      </c>
      <c r="AG6" s="25">
        <f t="shared" ref="AG6:AG11" si="0">AE6-J4</f>
        <v>-0.45604436253637237</v>
      </c>
      <c r="AI6" s="25">
        <f>-J4*LN(AE6)-(1-J4)*LN(1-AE6)</f>
        <v>0.6088875842315733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0.22154994042660084</v>
      </c>
      <c r="S7" s="18">
        <v>0.63703288840226202</v>
      </c>
      <c r="T7" s="18">
        <v>0.18496767327540439</v>
      </c>
      <c r="U7" s="18">
        <v>0.50028467233202001</v>
      </c>
      <c r="V7" s="18">
        <v>0.34392723930403418</v>
      </c>
      <c r="W7" s="18">
        <v>0.43867023544198824</v>
      </c>
      <c r="X7" s="18"/>
      <c r="Z7">
        <v>-1.6819385234438271</v>
      </c>
      <c r="AA7">
        <v>-0.33145795933470634</v>
      </c>
      <c r="AB7">
        <v>0.8361171104066466</v>
      </c>
      <c r="AC7">
        <v>1.7013493204980605</v>
      </c>
      <c r="AE7" s="25">
        <f t="shared" ref="AE7:AE11" si="1">1/(1+EXP(-SUM(Z7:AC7)))</f>
        <v>0.62809896276390953</v>
      </c>
      <c r="AG7" s="25">
        <f t="shared" si="0"/>
        <v>0.62809896276390953</v>
      </c>
      <c r="AI7" s="25">
        <f t="shared" ref="AI7:AI11" si="2">-J5*LN(AE7)-(1-J5)*LN(1-AE7)</f>
        <v>0.9891274890362054</v>
      </c>
      <c r="AM7" s="26">
        <f t="array" ref="AM7:AR12">MMULT(Z15:AC20,TRANSPOSE(M27:P32))</f>
        <v>1.1496295261225198E-3</v>
      </c>
      <c r="AN7" s="26">
        <v>-0.48370291139382071</v>
      </c>
      <c r="AO7" s="26">
        <v>-1.3123518902516063E-2</v>
      </c>
      <c r="AP7" s="26">
        <v>-0.19634921834938057</v>
      </c>
      <c r="AQ7" s="26">
        <v>-0.10251419183985866</v>
      </c>
      <c r="AR7" s="26">
        <v>-0.55734479089504341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1.5129776449960826</v>
      </c>
      <c r="S8" s="18">
        <v>-1.9633438208187357</v>
      </c>
      <c r="T8" s="18">
        <v>1.4889881211770422</v>
      </c>
      <c r="U8" s="18">
        <v>-1.0253074916105951</v>
      </c>
      <c r="V8" s="18">
        <v>1.4220777364243529</v>
      </c>
      <c r="W8" s="18">
        <v>-2.7317666199457031</v>
      </c>
      <c r="X8" s="18"/>
      <c r="Z8">
        <v>-1.4839358874195641</v>
      </c>
      <c r="AA8">
        <v>-0.84805390087105559</v>
      </c>
      <c r="AB8">
        <v>0.55096736460781337</v>
      </c>
      <c r="AC8">
        <v>1.9783304397707051</v>
      </c>
      <c r="AE8" s="25">
        <f t="shared" si="1"/>
        <v>0.54916759768414103</v>
      </c>
      <c r="AG8" s="25">
        <f t="shared" si="0"/>
        <v>-0.45083240231585897</v>
      </c>
      <c r="AI8" s="25">
        <f t="shared" si="2"/>
        <v>0.59935160594729886</v>
      </c>
      <c r="AM8" s="26">
        <v>-1.5833571736405538E-3</v>
      </c>
      <c r="AN8" s="26">
        <v>0.6661924187432775</v>
      </c>
      <c r="AO8" s="26">
        <v>1.8074707830261438E-2</v>
      </c>
      <c r="AP8" s="26">
        <v>0.27042706919749332</v>
      </c>
      <c r="AQ8" s="26">
        <v>0.14119033772303302</v>
      </c>
      <c r="AR8" s="26">
        <v>0.76761761315517751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/>
      <c r="M9" s="18">
        <f t="array" ref="M9:P14">MMULT(C4:H9,C13:F18)</f>
        <v>-0.24458237234586155</v>
      </c>
      <c r="N9" s="18">
        <v>-0.32241863307676616</v>
      </c>
      <c r="O9" s="18">
        <v>-0.88936717997997072</v>
      </c>
      <c r="P9" s="18">
        <v>-1.5236855553129156</v>
      </c>
      <c r="Q9" s="18"/>
      <c r="R9" s="18">
        <v>0.42005688762474708</v>
      </c>
      <c r="S9" s="18">
        <v>0.40362919406147479</v>
      </c>
      <c r="T9" s="18">
        <v>0.39656717563557897</v>
      </c>
      <c r="U9" s="18">
        <v>0.34264101762410137</v>
      </c>
      <c r="V9" s="18">
        <v>0.48298277030058706</v>
      </c>
      <c r="W9" s="18">
        <v>0.2850519338281019</v>
      </c>
      <c r="X9" s="18"/>
      <c r="Z9">
        <v>-1.6604483148272582</v>
      </c>
      <c r="AA9">
        <v>-0.39400998941420745</v>
      </c>
      <c r="AB9">
        <v>0.80277667421566212</v>
      </c>
      <c r="AC9">
        <v>1.7367872764926104</v>
      </c>
      <c r="AE9" s="25">
        <f t="shared" si="1"/>
        <v>0.61895277185764563</v>
      </c>
      <c r="AG9" s="25">
        <f t="shared" si="0"/>
        <v>0.61895277185764563</v>
      </c>
      <c r="AI9" s="25">
        <f t="shared" si="2"/>
        <v>0.96483195315875825</v>
      </c>
      <c r="AM9" s="26">
        <v>1.1364908408305618E-3</v>
      </c>
      <c r="AN9" s="26">
        <v>-0.4781748519771668</v>
      </c>
      <c r="AO9" s="26">
        <v>-1.2973535120033408E-2</v>
      </c>
      <c r="AP9" s="26">
        <v>-0.1941052166700829</v>
      </c>
      <c r="AQ9" s="26">
        <v>-0.10134259553520142</v>
      </c>
      <c r="AR9" s="26">
        <v>-0.55097510601811728</v>
      </c>
    </row>
    <row r="10" spans="2:46" x14ac:dyDescent="0.3">
      <c r="L10" s="18"/>
      <c r="M10" s="18">
        <v>-0.53752506761138319</v>
      </c>
      <c r="N10" s="18">
        <v>-0.26886542729793117</v>
      </c>
      <c r="O10" s="18">
        <v>2.0980290325484301</v>
      </c>
      <c r="P10" s="18">
        <v>0.62527072416134943</v>
      </c>
      <c r="Q10" s="18"/>
      <c r="R10" s="18">
        <v>1.2147330656752806</v>
      </c>
      <c r="S10" s="18">
        <v>-2.1179894119212626</v>
      </c>
      <c r="T10" s="18">
        <v>1.2008260248153424</v>
      </c>
      <c r="U10" s="18">
        <v>-1.153331912851556</v>
      </c>
      <c r="V10" s="18">
        <v>1.1500901953686817</v>
      </c>
      <c r="W10" s="18">
        <v>-2.9571402943763596</v>
      </c>
      <c r="X10" s="18"/>
      <c r="Z10">
        <v>-1.4859050495444281</v>
      </c>
      <c r="AA10">
        <v>-0.83657273390992415</v>
      </c>
      <c r="AB10">
        <v>0.55596248637545886</v>
      </c>
      <c r="AC10">
        <v>1.9697399445878794</v>
      </c>
      <c r="AE10" s="25">
        <f t="shared" si="1"/>
        <v>0.550632022080348</v>
      </c>
      <c r="AG10" s="25">
        <f t="shared" si="0"/>
        <v>-0.449367977919652</v>
      </c>
      <c r="AI10" s="25">
        <f t="shared" si="2"/>
        <v>0.5966885294461588</v>
      </c>
      <c r="AM10" s="26">
        <v>-1.5603007958380211E-3</v>
      </c>
      <c r="AN10" s="26">
        <v>0.65649152222321427</v>
      </c>
      <c r="AO10" s="26">
        <v>1.7811509292784411E-2</v>
      </c>
      <c r="AP10" s="26">
        <v>0.26648919037945218</v>
      </c>
      <c r="AQ10" s="26">
        <v>0.13913436587864036</v>
      </c>
      <c r="AR10" s="26">
        <v>0.75643979301990261</v>
      </c>
    </row>
    <row r="11" spans="2:46" x14ac:dyDescent="0.3">
      <c r="L11" s="18"/>
      <c r="M11" s="18">
        <v>-0.21733267677887513</v>
      </c>
      <c r="N11" s="18">
        <v>-0.23748494862881503</v>
      </c>
      <c r="O11" s="18">
        <v>-0.75181393366714599</v>
      </c>
      <c r="P11" s="18">
        <v>-1.3740696952312677</v>
      </c>
      <c r="Q11" s="18"/>
      <c r="R11" s="18">
        <v>0.9664289692861564</v>
      </c>
      <c r="S11" s="18">
        <v>1.1420300039342908</v>
      </c>
      <c r="T11" s="18">
        <v>0.88845400704601585</v>
      </c>
      <c r="U11" s="18">
        <v>0.92913131088998768</v>
      </c>
      <c r="V11" s="18">
        <v>1.0699423738161167</v>
      </c>
      <c r="W11" s="18">
        <v>0.99857451020071597</v>
      </c>
      <c r="X11" s="18"/>
      <c r="Z11">
        <v>-1.6734606624931905</v>
      </c>
      <c r="AA11">
        <v>-0.36803489696037189</v>
      </c>
      <c r="AB11">
        <v>0.81960578043319132</v>
      </c>
      <c r="AC11">
        <v>1.7271655725926105</v>
      </c>
      <c r="AE11" s="25">
        <f t="shared" si="1"/>
        <v>0.62369835890340097</v>
      </c>
      <c r="AG11" s="25">
        <f t="shared" si="0"/>
        <v>0.62369835890340097</v>
      </c>
      <c r="AI11" s="25">
        <f t="shared" si="2"/>
        <v>0.97736422025327296</v>
      </c>
      <c r="AM11" s="26">
        <v>1.1327992141755283E-3</v>
      </c>
      <c r="AN11" s="26">
        <v>-0.47662161198090458</v>
      </c>
      <c r="AO11" s="26">
        <v>-1.2931393603058727E-2</v>
      </c>
      <c r="AP11" s="26">
        <v>-0.19347471093610602</v>
      </c>
      <c r="AQ11" s="26">
        <v>-0.10101340764073252</v>
      </c>
      <c r="AR11" s="26">
        <v>-0.54918539129750066</v>
      </c>
    </row>
    <row r="12" spans="2:46" x14ac:dyDescent="0.3">
      <c r="B12" t="s">
        <v>2</v>
      </c>
      <c r="L12" s="18"/>
      <c r="M12" s="18">
        <v>-0.41626612486504488</v>
      </c>
      <c r="N12" s="18">
        <v>-0.21975445984603409</v>
      </c>
      <c r="O12" s="18">
        <v>1.2119215074431067</v>
      </c>
      <c r="P12" s="18">
        <v>0.30302487556326402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0.78937523034554458</v>
      </c>
      <c r="AM12" s="26">
        <v>-1.5722638139885614E-3</v>
      </c>
      <c r="AN12" s="26">
        <v>0.66152492348606107</v>
      </c>
      <c r="AO12" s="26">
        <v>1.7948072325713937E-2</v>
      </c>
      <c r="AP12" s="26">
        <v>0.26853239578574351</v>
      </c>
      <c r="AQ12" s="26">
        <v>0.140201126178221</v>
      </c>
      <c r="AR12" s="26">
        <v>0.76223950997064072</v>
      </c>
    </row>
    <row r="13" spans="2:46" x14ac:dyDescent="0.3">
      <c r="C13" s="22">
        <f>'First Iteration'!AK48</f>
        <v>0.24827099203553063</v>
      </c>
      <c r="D13" s="22">
        <f>'First Iteration'!AL48</f>
        <v>-6.832594683987489E-2</v>
      </c>
      <c r="E13" s="22">
        <f>'First Iteration'!AM48</f>
        <v>0.32372829405917686</v>
      </c>
      <c r="F13" s="22">
        <f>'First Iteration'!AN48</f>
        <v>0.7628928043187494</v>
      </c>
      <c r="L13" s="18"/>
      <c r="M13" s="18">
        <v>-0.2426270539662887</v>
      </c>
      <c r="N13" s="18">
        <v>-0.13809076079167265</v>
      </c>
      <c r="O13" s="18">
        <v>-0.68277454350900568</v>
      </c>
      <c r="P13" s="18">
        <v>-1.3859124682556403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'First Iteration'!AK49</f>
        <v>-0.10647338010980473</v>
      </c>
      <c r="D14" s="22">
        <f>'First Iteration'!AL49</f>
        <v>-0.14561305461120122</v>
      </c>
      <c r="E14" s="22">
        <f>'First Iteration'!AM49</f>
        <v>0.80336536371624656</v>
      </c>
      <c r="F14" s="22">
        <f>'First Iteration'!AN49</f>
        <v>0.30179689500125384</v>
      </c>
      <c r="L14" s="18"/>
      <c r="M14" s="18">
        <v>-0.62099533154242093</v>
      </c>
      <c r="N14" s="18">
        <v>-0.60567509330409175</v>
      </c>
      <c r="O14" s="18">
        <v>2.7273458414671872</v>
      </c>
      <c r="P14" s="18">
        <v>0.86598738283068755</v>
      </c>
      <c r="Q14" s="18"/>
      <c r="R14" s="23">
        <f>R6/SQRT(4)</f>
        <v>0.93916437981037038</v>
      </c>
      <c r="S14" s="23">
        <f t="shared" ref="S14:W19" si="3">S6/SQRT(4)</f>
        <v>-1.0369997025245441</v>
      </c>
      <c r="T14" s="23">
        <f t="shared" si="3"/>
        <v>0.92347134811122367</v>
      </c>
      <c r="U14" s="23">
        <f t="shared" si="3"/>
        <v>-0.52648310751090932</v>
      </c>
      <c r="V14" s="23">
        <f t="shared" si="3"/>
        <v>0.88090025414802708</v>
      </c>
      <c r="W14" s="23">
        <f t="shared" si="3"/>
        <v>-1.4392896107900248</v>
      </c>
      <c r="X14" s="18"/>
      <c r="Z14" s="1" t="s">
        <v>83</v>
      </c>
    </row>
    <row r="15" spans="2:46" x14ac:dyDescent="0.3">
      <c r="C15" s="22">
        <f>'First Iteration'!AK50</f>
        <v>-0.23157688809964244</v>
      </c>
      <c r="D15" s="22">
        <f>'First Iteration'!AL50</f>
        <v>0.26411431111024686</v>
      </c>
      <c r="E15" s="22">
        <f>'First Iteration'!AM50</f>
        <v>-0.22761205080736471</v>
      </c>
      <c r="F15" s="22">
        <f>'First Iteration'!AN50</f>
        <v>-0.25563454141792991</v>
      </c>
      <c r="L15" s="18"/>
      <c r="M15" s="18"/>
      <c r="N15" s="18"/>
      <c r="O15" s="18"/>
      <c r="P15" s="18"/>
      <c r="Q15" s="18"/>
      <c r="R15" s="23">
        <f t="shared" ref="R15:V19" si="4">R7/SQRT(4)</f>
        <v>0.11077497021330042</v>
      </c>
      <c r="S15" s="23">
        <f t="shared" si="4"/>
        <v>0.31851644420113101</v>
      </c>
      <c r="T15" s="23">
        <f t="shared" si="4"/>
        <v>9.2483836637702196E-2</v>
      </c>
      <c r="U15" s="23">
        <f t="shared" si="4"/>
        <v>0.25014233616601</v>
      </c>
      <c r="V15" s="23">
        <f t="shared" si="4"/>
        <v>0.17196361965201709</v>
      </c>
      <c r="W15" s="23">
        <f t="shared" si="3"/>
        <v>0.21933511772099412</v>
      </c>
      <c r="X15" s="18"/>
      <c r="Z15" s="26">
        <f t="shared" ref="Z15:Z20" si="5">AG6</f>
        <v>-0.45604436253637237</v>
      </c>
      <c r="AA15" s="26">
        <f>Z15</f>
        <v>-0.45604436253637237</v>
      </c>
      <c r="AB15" s="26">
        <f>AA15</f>
        <v>-0.45604436253637237</v>
      </c>
      <c r="AC15" s="26">
        <f>AB15</f>
        <v>-0.45604436253637237</v>
      </c>
      <c r="AF15">
        <f t="shared" ref="AF15:AK20" si="6">R29*AM7</f>
        <v>3.3911852527075621E-4</v>
      </c>
      <c r="AG15">
        <f t="shared" si="6"/>
        <v>-1.9775849609842584E-2</v>
      </c>
      <c r="AH15">
        <f t="shared" si="6"/>
        <v>-3.8109083963972319E-3</v>
      </c>
      <c r="AI15">
        <f t="shared" si="6"/>
        <v>-1.3375196347658665E-2</v>
      </c>
      <c r="AJ15">
        <f t="shared" si="6"/>
        <v>-2.8528163159748945E-2</v>
      </c>
      <c r="AK15">
        <f t="shared" si="6"/>
        <v>-1.5239408422346536E-2</v>
      </c>
      <c r="AM15">
        <f>SUM(AF15:AK15)</f>
        <v>-8.0390407410723203E-2</v>
      </c>
      <c r="AO15">
        <f t="shared" ref="AO15:AT20" si="7">AM7-$AM15</f>
        <v>8.1540036936845722E-2</v>
      </c>
      <c r="AP15">
        <f t="shared" si="7"/>
        <v>-0.40331250398309748</v>
      </c>
      <c r="AQ15">
        <f t="shared" si="7"/>
        <v>6.726688850820714E-2</v>
      </c>
      <c r="AR15">
        <f t="shared" si="7"/>
        <v>-0.11595881093865737</v>
      </c>
      <c r="AS15">
        <f t="shared" si="7"/>
        <v>-2.2123784429135457E-2</v>
      </c>
      <c r="AT15">
        <f t="shared" si="7"/>
        <v>-0.47695438348432018</v>
      </c>
    </row>
    <row r="16" spans="2:46" x14ac:dyDescent="0.3">
      <c r="C16" s="22">
        <f>'First Iteration'!AK51</f>
        <v>0.12158358998813498</v>
      </c>
      <c r="D16" s="22">
        <f>'First Iteration'!AL51</f>
        <v>-0.95779061989844583</v>
      </c>
      <c r="E16" s="22">
        <f>'First Iteration'!AM51</f>
        <v>-0.86167854196811489</v>
      </c>
      <c r="F16" s="22">
        <f>'First Iteration'!AN51</f>
        <v>-0.28521885252132623</v>
      </c>
      <c r="L16" s="19" t="s">
        <v>3</v>
      </c>
      <c r="M16" s="20"/>
      <c r="N16" s="18"/>
      <c r="O16" s="18"/>
      <c r="P16" s="18"/>
      <c r="Q16" s="18"/>
      <c r="R16" s="23">
        <f t="shared" si="4"/>
        <v>0.75648882249804128</v>
      </c>
      <c r="S16" s="23">
        <f t="shared" si="4"/>
        <v>-0.98167191040936785</v>
      </c>
      <c r="T16" s="23">
        <f t="shared" si="4"/>
        <v>0.74449406058852108</v>
      </c>
      <c r="U16" s="23">
        <f t="shared" si="4"/>
        <v>-0.51265374580529754</v>
      </c>
      <c r="V16" s="23">
        <f t="shared" si="4"/>
        <v>0.71103886821217643</v>
      </c>
      <c r="W16" s="23">
        <f t="shared" si="3"/>
        <v>-1.3658833099728516</v>
      </c>
      <c r="X16" s="18"/>
      <c r="Z16" s="26">
        <f t="shared" si="5"/>
        <v>0.62809896276390953</v>
      </c>
      <c r="AA16" s="26">
        <f t="shared" ref="AA16:AC20" si="8">Z16</f>
        <v>0.62809896276390953</v>
      </c>
      <c r="AB16" s="26">
        <f t="shared" si="8"/>
        <v>0.62809896276390953</v>
      </c>
      <c r="AC16" s="26">
        <f t="shared" si="8"/>
        <v>0.62809896276390953</v>
      </c>
      <c r="AF16">
        <f t="shared" si="6"/>
        <v>-2.4210029425625733E-4</v>
      </c>
      <c r="AG16">
        <f t="shared" si="6"/>
        <v>0.12538254625273368</v>
      </c>
      <c r="AH16">
        <f t="shared" si="6"/>
        <v>2.713588379073228E-3</v>
      </c>
      <c r="AI16">
        <f t="shared" si="6"/>
        <v>4.7532763310861162E-2</v>
      </c>
      <c r="AJ16">
        <f t="shared" si="6"/>
        <v>2.295066601909853E-2</v>
      </c>
      <c r="AK16">
        <f t="shared" si="6"/>
        <v>0.13083032716627505</v>
      </c>
      <c r="AM16">
        <f>SUM(AF16:AK16)</f>
        <v>0.32916779083378539</v>
      </c>
      <c r="AO16">
        <f t="shared" si="7"/>
        <v>-0.33075114800742594</v>
      </c>
      <c r="AP16">
        <f t="shared" si="7"/>
        <v>0.33702462790949211</v>
      </c>
      <c r="AQ16">
        <f t="shared" si="7"/>
        <v>-0.31109308300352395</v>
      </c>
      <c r="AR16">
        <f t="shared" si="7"/>
        <v>-5.874072163629207E-2</v>
      </c>
      <c r="AS16">
        <f t="shared" si="7"/>
        <v>-0.18797745311075237</v>
      </c>
      <c r="AT16">
        <f t="shared" si="7"/>
        <v>0.43844982232139212</v>
      </c>
    </row>
    <row r="17" spans="2:46" x14ac:dyDescent="0.3">
      <c r="C17" s="22">
        <f>'First Iteration'!AK52</f>
        <v>-0.50653239769749769</v>
      </c>
      <c r="D17" s="22">
        <f>'First Iteration'!AL52</f>
        <v>0.15806724870006092</v>
      </c>
      <c r="E17" s="22">
        <f>'First Iteration'!AM52</f>
        <v>-0.45416844562458591</v>
      </c>
      <c r="F17" s="22">
        <f>'First Iteration'!AN52</f>
        <v>-0.70446828151414387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si="4"/>
        <v>0.21002844381237354</v>
      </c>
      <c r="S17" s="23">
        <f t="shared" si="4"/>
        <v>0.2018145970307374</v>
      </c>
      <c r="T17" s="23">
        <f t="shared" si="4"/>
        <v>0.19828358781778949</v>
      </c>
      <c r="U17" s="23">
        <f t="shared" si="4"/>
        <v>0.17132050881205069</v>
      </c>
      <c r="V17" s="23">
        <f t="shared" si="4"/>
        <v>0.24149138515029353</v>
      </c>
      <c r="W17" s="23">
        <f t="shared" si="3"/>
        <v>0.14252596691405095</v>
      </c>
      <c r="X17" s="18"/>
      <c r="Z17" s="26">
        <f t="shared" si="5"/>
        <v>-0.45083240231585897</v>
      </c>
      <c r="AA17" s="26">
        <f t="shared" si="8"/>
        <v>-0.45083240231585897</v>
      </c>
      <c r="AB17" s="26">
        <f t="shared" si="8"/>
        <v>-0.45083240231585897</v>
      </c>
      <c r="AC17" s="26">
        <f t="shared" si="8"/>
        <v>-0.45083240231585897</v>
      </c>
      <c r="AF17">
        <f t="shared" si="6"/>
        <v>3.2283850514999067E-4</v>
      </c>
      <c r="AG17">
        <f t="shared" si="6"/>
        <v>-2.3885399239784392E-2</v>
      </c>
      <c r="AH17">
        <f t="shared" si="6"/>
        <v>-3.641400609810668E-3</v>
      </c>
      <c r="AI17">
        <f t="shared" si="6"/>
        <v>-1.5497975890431939E-2</v>
      </c>
      <c r="AJ17">
        <f t="shared" si="6"/>
        <v>-2.7508869709444262E-2</v>
      </c>
      <c r="AK17">
        <f t="shared" si="6"/>
        <v>-1.874203994476226E-2</v>
      </c>
      <c r="AM17">
        <f t="shared" ref="AM17:AM20" si="9">SUM(AF17:AK17)</f>
        <v>-8.8952846889083531E-2</v>
      </c>
      <c r="AO17">
        <f t="shared" si="7"/>
        <v>9.0089337729914093E-2</v>
      </c>
      <c r="AP17">
        <f t="shared" si="7"/>
        <v>-0.38922200508808324</v>
      </c>
      <c r="AQ17">
        <f t="shared" si="7"/>
        <v>7.5979311769050123E-2</v>
      </c>
      <c r="AR17">
        <f t="shared" si="7"/>
        <v>-0.10515236978099937</v>
      </c>
      <c r="AS17">
        <f t="shared" si="7"/>
        <v>-1.2389748646117887E-2</v>
      </c>
      <c r="AT17">
        <f t="shared" si="7"/>
        <v>-0.46202225912903372</v>
      </c>
    </row>
    <row r="18" spans="2:46" x14ac:dyDescent="0.3">
      <c r="C18" s="22">
        <f>'First Iteration'!AK53</f>
        <v>0.73270754230250235</v>
      </c>
      <c r="D18" s="22">
        <f>'First Iteration'!AL53</f>
        <v>-0.11194457129993908</v>
      </c>
      <c r="E18" s="22">
        <f>'First Iteration'!AM53</f>
        <v>3.3607694375414103E-2</v>
      </c>
      <c r="F18" s="22">
        <f>'First Iteration'!AN53</f>
        <v>-0.7106905215141438</v>
      </c>
      <c r="L18" s="18"/>
      <c r="M18" s="18">
        <f t="array" ref="M18:P23">MMULT(C4:H9,C20:F25)</f>
        <v>-0.83758735749411084</v>
      </c>
      <c r="N18" s="18">
        <v>-2.9503448853848129</v>
      </c>
      <c r="O18" s="18">
        <v>-0.41864813198384854</v>
      </c>
      <c r="P18" s="18">
        <v>-0.2296350332000856</v>
      </c>
      <c r="Q18" s="18"/>
      <c r="R18" s="23">
        <f t="shared" si="4"/>
        <v>0.6073665328376403</v>
      </c>
      <c r="S18" s="23">
        <f t="shared" si="4"/>
        <v>-1.0589947059606313</v>
      </c>
      <c r="T18" s="23">
        <f t="shared" si="4"/>
        <v>0.6004130124076712</v>
      </c>
      <c r="U18" s="23">
        <f t="shared" si="4"/>
        <v>-0.576665956425778</v>
      </c>
      <c r="V18" s="23">
        <f t="shared" si="4"/>
        <v>0.57504509768434087</v>
      </c>
      <c r="W18" s="23">
        <f t="shared" si="3"/>
        <v>-1.4785701471881798</v>
      </c>
      <c r="X18" s="18"/>
      <c r="Z18" s="26">
        <f t="shared" si="5"/>
        <v>0.61895277185764563</v>
      </c>
      <c r="AA18" s="26">
        <f t="shared" si="8"/>
        <v>0.61895277185764563</v>
      </c>
      <c r="AB18" s="26">
        <f t="shared" si="8"/>
        <v>0.61895277185764563</v>
      </c>
      <c r="AC18" s="26">
        <f t="shared" si="8"/>
        <v>0.61895277185764563</v>
      </c>
      <c r="AF18">
        <f t="shared" si="6"/>
        <v>-2.6406105184175691E-4</v>
      </c>
      <c r="AG18">
        <f t="shared" si="6"/>
        <v>0.11019399100708122</v>
      </c>
      <c r="AH18">
        <f t="shared" si="6"/>
        <v>2.9791749975311829E-3</v>
      </c>
      <c r="AI18">
        <f t="shared" si="6"/>
        <v>4.3387534668903618E-2</v>
      </c>
      <c r="AJ18">
        <f t="shared" si="6"/>
        <v>2.4299347604521775E-2</v>
      </c>
      <c r="AK18">
        <f t="shared" si="6"/>
        <v>0.11966149729822878</v>
      </c>
      <c r="AM18">
        <f t="shared" si="9"/>
        <v>0.3002574845244248</v>
      </c>
      <c r="AO18">
        <f t="shared" si="7"/>
        <v>-0.30181778532026282</v>
      </c>
      <c r="AP18">
        <f t="shared" si="7"/>
        <v>0.35623403769878947</v>
      </c>
      <c r="AQ18">
        <f t="shared" si="7"/>
        <v>-0.28244597523164039</v>
      </c>
      <c r="AR18">
        <f t="shared" si="7"/>
        <v>-3.3768294144972621E-2</v>
      </c>
      <c r="AS18">
        <f t="shared" si="7"/>
        <v>-0.16112311864578444</v>
      </c>
      <c r="AT18">
        <f t="shared" si="7"/>
        <v>0.45618230849547781</v>
      </c>
    </row>
    <row r="19" spans="2:46" x14ac:dyDescent="0.3">
      <c r="B19" t="s">
        <v>8</v>
      </c>
      <c r="C19" t="s">
        <v>9</v>
      </c>
      <c r="L19" s="18"/>
      <c r="M19" s="18">
        <v>-0.86510679977900073</v>
      </c>
      <c r="N19" s="18">
        <v>-1.0478319061520271</v>
      </c>
      <c r="O19" s="18">
        <v>-0.68449911020642773</v>
      </c>
      <c r="P19" s="18">
        <v>2.1213043868665094</v>
      </c>
      <c r="Q19" s="18"/>
      <c r="R19" s="23">
        <f t="shared" si="4"/>
        <v>0.4832144846430782</v>
      </c>
      <c r="S19" s="23">
        <f t="shared" si="4"/>
        <v>0.57101500196714539</v>
      </c>
      <c r="T19" s="23">
        <f t="shared" si="4"/>
        <v>0.44422700352300792</v>
      </c>
      <c r="U19" s="23">
        <f t="shared" si="4"/>
        <v>0.46456565544499384</v>
      </c>
      <c r="V19" s="23">
        <f t="shared" si="4"/>
        <v>0.53497118690805834</v>
      </c>
      <c r="W19" s="23">
        <f t="shared" si="3"/>
        <v>0.49928725510035799</v>
      </c>
      <c r="X19" s="18"/>
      <c r="Z19" s="26">
        <f t="shared" si="5"/>
        <v>-0.449367977919652</v>
      </c>
      <c r="AA19" s="26">
        <f t="shared" si="8"/>
        <v>-0.449367977919652</v>
      </c>
      <c r="AB19" s="26">
        <f t="shared" si="8"/>
        <v>-0.449367977919652</v>
      </c>
      <c r="AC19" s="26">
        <f t="shared" si="8"/>
        <v>-0.449367977919652</v>
      </c>
      <c r="AF19">
        <f t="shared" si="6"/>
        <v>3.1638617484244021E-4</v>
      </c>
      <c r="AG19">
        <f t="shared" si="6"/>
        <v>-2.5150510172096376E-2</v>
      </c>
      <c r="AH19">
        <f t="shared" si="6"/>
        <v>-3.5866583871612362E-3</v>
      </c>
      <c r="AI19">
        <f t="shared" si="6"/>
        <v>-1.6537505009209353E-2</v>
      </c>
      <c r="AJ19">
        <f t="shared" si="6"/>
        <v>-2.7315336808603031E-2</v>
      </c>
      <c r="AK19">
        <f t="shared" si="6"/>
        <v>-1.9049024712319465E-2</v>
      </c>
      <c r="AM19">
        <f t="shared" si="9"/>
        <v>-9.1322648914547014E-2</v>
      </c>
      <c r="AO19">
        <f t="shared" si="7"/>
        <v>9.2455448128722542E-2</v>
      </c>
      <c r="AP19">
        <f t="shared" si="7"/>
        <v>-0.38529896306635758</v>
      </c>
      <c r="AQ19">
        <f t="shared" si="7"/>
        <v>7.8391255311488287E-2</v>
      </c>
      <c r="AR19">
        <f t="shared" si="7"/>
        <v>-0.10215206202155901</v>
      </c>
      <c r="AS19">
        <f t="shared" si="7"/>
        <v>-9.6907587261855083E-3</v>
      </c>
      <c r="AT19">
        <f t="shared" si="7"/>
        <v>-0.45786274238295366</v>
      </c>
    </row>
    <row r="20" spans="2:46" x14ac:dyDescent="0.3">
      <c r="C20" s="22">
        <f>'First Iteration'!AK56</f>
        <v>-0.27578788837177337</v>
      </c>
      <c r="D20" s="22">
        <f>'First Iteration'!AL56</f>
        <v>5.3755337130820792E-2</v>
      </c>
      <c r="E20" s="22">
        <f>'First Iteration'!AM56</f>
        <v>-0.5620466896343973</v>
      </c>
      <c r="F20" s="22">
        <f>'First Iteration'!AN56</f>
        <v>0.19425863140583929</v>
      </c>
      <c r="L20" s="18"/>
      <c r="M20" s="18">
        <v>-0.89156294828632165</v>
      </c>
      <c r="N20" s="18">
        <v>-2.8437145575216434</v>
      </c>
      <c r="O20" s="18">
        <v>-0.44237221062711007</v>
      </c>
      <c r="P20" s="18">
        <v>-0.20908791066534294</v>
      </c>
      <c r="Q20" s="18"/>
      <c r="R20" s="18"/>
      <c r="S20" s="18"/>
      <c r="T20" s="18"/>
      <c r="U20" s="18"/>
      <c r="V20" s="18"/>
      <c r="W20" s="18"/>
      <c r="X20" s="18"/>
      <c r="Z20" s="26">
        <f t="shared" si="5"/>
        <v>0.62369835890340097</v>
      </c>
      <c r="AA20" s="26">
        <f t="shared" si="8"/>
        <v>0.62369835890340097</v>
      </c>
      <c r="AB20" s="26">
        <f t="shared" si="8"/>
        <v>0.62369835890340097</v>
      </c>
      <c r="AC20" s="26">
        <f t="shared" si="8"/>
        <v>0.62369835890340097</v>
      </c>
      <c r="AF20">
        <f t="shared" si="6"/>
        <v>-2.5756326254953516E-4</v>
      </c>
      <c r="AG20">
        <f t="shared" si="6"/>
        <v>0.11831395982536649</v>
      </c>
      <c r="AH20">
        <f t="shared" si="6"/>
        <v>2.8277711644139028E-3</v>
      </c>
      <c r="AI20">
        <f t="shared" si="6"/>
        <v>4.3177361666135956E-2</v>
      </c>
      <c r="AJ20">
        <f t="shared" si="6"/>
        <v>2.4187314456448339E-2</v>
      </c>
      <c r="AK20">
        <f t="shared" si="6"/>
        <v>0.12689083939480414</v>
      </c>
      <c r="AM20">
        <f t="shared" si="9"/>
        <v>0.31513968324461927</v>
      </c>
      <c r="AO20">
        <f t="shared" si="7"/>
        <v>-0.31671194705860783</v>
      </c>
      <c r="AP20">
        <f t="shared" si="7"/>
        <v>0.34638524024144179</v>
      </c>
      <c r="AQ20">
        <f t="shared" si="7"/>
        <v>-0.29719161091890534</v>
      </c>
      <c r="AR20">
        <f t="shared" si="7"/>
        <v>-4.6607287458875768E-2</v>
      </c>
      <c r="AS20">
        <f t="shared" si="7"/>
        <v>-0.17493855706639827</v>
      </c>
      <c r="AT20">
        <f t="shared" si="7"/>
        <v>0.44709982672602144</v>
      </c>
    </row>
    <row r="21" spans="2:46" x14ac:dyDescent="0.3">
      <c r="C21" s="22">
        <f>'First Iteration'!AK57</f>
        <v>-0.28646323345246899</v>
      </c>
      <c r="D21" s="22">
        <f>'First Iteration'!AL57</f>
        <v>-0.13916969308296856</v>
      </c>
      <c r="E21" s="22">
        <f>'First Iteration'!AM57</f>
        <v>-0.35205815597323714</v>
      </c>
      <c r="F21" s="22">
        <f>'First Iteration'!AN57</f>
        <v>0.9022110572730615</v>
      </c>
      <c r="L21" s="18"/>
      <c r="M21" s="18">
        <v>-0.57136217449032278</v>
      </c>
      <c r="N21" s="18">
        <v>-1.0061911172919349</v>
      </c>
      <c r="O21" s="18">
        <v>-0.40387812470530837</v>
      </c>
      <c r="P21" s="18">
        <v>1.2314365244592904</v>
      </c>
      <c r="Q21" s="18"/>
      <c r="R21" s="23">
        <f>EXP(R14)</f>
        <v>2.5578431396898629</v>
      </c>
      <c r="S21" s="23">
        <f t="shared" ref="S21:W21" si="10">EXP(S14)</f>
        <v>0.35451674360247926</v>
      </c>
      <c r="T21" s="23">
        <f t="shared" si="10"/>
        <v>2.5180161466992441</v>
      </c>
      <c r="U21" s="23">
        <f t="shared" si="10"/>
        <v>0.59067867443621225</v>
      </c>
      <c r="V21" s="23">
        <f t="shared" si="10"/>
        <v>2.4130711061375396</v>
      </c>
      <c r="W21" s="23">
        <f t="shared" si="10"/>
        <v>0.23709612940272401</v>
      </c>
      <c r="X21" s="18"/>
      <c r="Z21" s="1" t="s">
        <v>81</v>
      </c>
    </row>
    <row r="22" spans="2:46" x14ac:dyDescent="0.3">
      <c r="C22" s="22">
        <f>'First Iteration'!AK58</f>
        <v>-1.4457684975177996E-2</v>
      </c>
      <c r="D22" s="22">
        <f>'First Iteration'!AL58</f>
        <v>-0.53250950319148627</v>
      </c>
      <c r="E22" s="22">
        <f>'First Iteration'!AM58</f>
        <v>0.44013873915054552</v>
      </c>
      <c r="F22" s="22">
        <f>'First Iteration'!AN58</f>
        <v>-0.59664415739974996</v>
      </c>
      <c r="L22" s="18"/>
      <c r="M22" s="18">
        <v>-0.88717079038353042</v>
      </c>
      <c r="N22" s="18">
        <v>-2.7484610092088406</v>
      </c>
      <c r="O22" s="18">
        <v>-0.34714472787614781</v>
      </c>
      <c r="P22" s="18">
        <v>-0.22965368488133209</v>
      </c>
      <c r="Q22" s="18"/>
      <c r="R22" s="23">
        <f t="shared" ref="R22:W26" si="11">EXP(R15)</f>
        <v>1.1171434880063353</v>
      </c>
      <c r="S22" s="23">
        <f t="shared" si="11"/>
        <v>1.3750862331925164</v>
      </c>
      <c r="T22" s="23">
        <f t="shared" si="11"/>
        <v>1.0968954118990735</v>
      </c>
      <c r="U22" s="23">
        <f t="shared" si="11"/>
        <v>1.2842081929501399</v>
      </c>
      <c r="V22" s="23">
        <f t="shared" si="11"/>
        <v>1.1876346258669959</v>
      </c>
      <c r="W22" s="23">
        <f t="shared" si="11"/>
        <v>1.2452485116155012</v>
      </c>
      <c r="X22" s="18"/>
      <c r="Z22" s="26">
        <f t="shared" ref="Z22:AE27" si="12">R29*AO15/SQRT(4)</f>
        <v>1.202636869018584E-2</v>
      </c>
      <c r="AA22" s="26">
        <f t="shared" si="12"/>
        <v>-8.2445724810254525E-3</v>
      </c>
      <c r="AB22" s="26">
        <f t="shared" si="12"/>
        <v>9.7667383313745065E-3</v>
      </c>
      <c r="AC22" s="26">
        <f t="shared" si="12"/>
        <v>-3.9495239084318583E-3</v>
      </c>
      <c r="AD22" s="26">
        <f t="shared" si="12"/>
        <v>-3.0783588134384093E-3</v>
      </c>
      <c r="AE22" s="26">
        <f t="shared" si="12"/>
        <v>-6.5206518186646323E-3</v>
      </c>
    </row>
    <row r="23" spans="2:46" x14ac:dyDescent="0.3">
      <c r="C23" s="22">
        <f>'First Iteration'!AK59</f>
        <v>0.10199779270959183</v>
      </c>
      <c r="D23" s="22">
        <f>'First Iteration'!AL59</f>
        <v>-0.98097743200394516</v>
      </c>
      <c r="E23" s="22">
        <f>'First Iteration'!AM59</f>
        <v>-0.65489592402406405</v>
      </c>
      <c r="F23" s="22">
        <f>'First Iteration'!AN59</f>
        <v>0.10287550028306229</v>
      </c>
      <c r="L23" s="18"/>
      <c r="M23" s="18">
        <v>-1.1297112809721765</v>
      </c>
      <c r="N23" s="18">
        <v>-1.3834815051245442</v>
      </c>
      <c r="O23" s="18">
        <v>-1.1645626619496221</v>
      </c>
      <c r="P23" s="18">
        <v>3.0430627217774147</v>
      </c>
      <c r="Q23" s="18"/>
      <c r="R23" s="23">
        <f t="shared" si="11"/>
        <v>2.1307815184528223</v>
      </c>
      <c r="S23" s="23">
        <f t="shared" si="11"/>
        <v>0.37468413657689992</v>
      </c>
      <c r="T23" s="23">
        <f t="shared" si="11"/>
        <v>2.1053759727931816</v>
      </c>
      <c r="U23" s="23">
        <f t="shared" si="11"/>
        <v>0.59890412877478827</v>
      </c>
      <c r="V23" s="23">
        <f t="shared" si="11"/>
        <v>2.0361054054790326</v>
      </c>
      <c r="W23" s="23">
        <f t="shared" si="11"/>
        <v>0.25515519528943942</v>
      </c>
      <c r="X23" s="18"/>
      <c r="Z23" s="26">
        <f t="shared" si="12"/>
        <v>-2.528644565839791E-2</v>
      </c>
      <c r="AA23" s="26">
        <f t="shared" si="12"/>
        <v>3.1715315881924139E-2</v>
      </c>
      <c r="AB23" s="26">
        <f t="shared" si="12"/>
        <v>-2.335248189835374E-2</v>
      </c>
      <c r="AC23" s="26">
        <f t="shared" si="12"/>
        <v>-5.1624063126017366E-3</v>
      </c>
      <c r="AD23" s="26">
        <f t="shared" si="12"/>
        <v>-1.5277985076884746E-2</v>
      </c>
      <c r="AE23" s="26">
        <f t="shared" si="12"/>
        <v>3.7364003064313991E-2</v>
      </c>
    </row>
    <row r="24" spans="2:46" x14ac:dyDescent="0.3">
      <c r="C24" s="22">
        <f>'First Iteration'!AK60</f>
        <v>0.36537875251241098</v>
      </c>
      <c r="D24" s="22">
        <f>'First Iteration'!AL60</f>
        <v>8.3857118404256914E-2</v>
      </c>
      <c r="E24" s="22">
        <f>'First Iteration'!AM60</f>
        <v>-4.3391000424727259E-2</v>
      </c>
      <c r="F24" s="22">
        <f>'First Iteration'!AN60</f>
        <v>-0.14366301869987497</v>
      </c>
      <c r="L24" s="18"/>
      <c r="M24" s="18"/>
      <c r="N24" s="18"/>
      <c r="O24" s="18"/>
      <c r="P24" s="18"/>
      <c r="Q24" s="18"/>
      <c r="R24" s="23">
        <f t="shared" si="11"/>
        <v>1.2337131509630685</v>
      </c>
      <c r="S24" s="23">
        <f t="shared" si="11"/>
        <v>1.2236211240898638</v>
      </c>
      <c r="T24" s="23">
        <f t="shared" si="11"/>
        <v>1.2193081257272353</v>
      </c>
      <c r="U24" s="23">
        <f t="shared" si="11"/>
        <v>1.1868710907103652</v>
      </c>
      <c r="V24" s="23">
        <f t="shared" si="11"/>
        <v>1.273146486904644</v>
      </c>
      <c r="W24" s="23">
        <f t="shared" si="11"/>
        <v>1.1531830251730881</v>
      </c>
      <c r="X24" s="18"/>
      <c r="Z24" s="26">
        <f t="shared" si="12"/>
        <v>1.2795662788370094E-2</v>
      </c>
      <c r="AA24" s="26">
        <f t="shared" si="12"/>
        <v>-9.7210496808834545E-3</v>
      </c>
      <c r="AB24" s="26">
        <f t="shared" si="12"/>
        <v>1.0662903736298726E-2</v>
      </c>
      <c r="AC24" s="26">
        <f t="shared" si="12"/>
        <v>-4.1978492892790122E-3</v>
      </c>
      <c r="AD24" s="26">
        <f t="shared" si="12"/>
        <v>-1.681563312242351E-3</v>
      </c>
      <c r="AE24" s="26">
        <f t="shared" si="12"/>
        <v>-7.8581042422640017E-3</v>
      </c>
    </row>
    <row r="25" spans="2:46" x14ac:dyDescent="0.3">
      <c r="C25" s="22">
        <f>'First Iteration'!AK61</f>
        <v>-0.74311553748758896</v>
      </c>
      <c r="D25" s="22">
        <f>'First Iteration'!AL61</f>
        <v>-0.36174912159574313</v>
      </c>
      <c r="E25" s="22">
        <f>'First Iteration'!AM61</f>
        <v>-0.21588625042472728</v>
      </c>
      <c r="F25" s="22">
        <f>'First Iteration'!AN61</f>
        <v>0.53544994130012502</v>
      </c>
      <c r="L25" s="19" t="s">
        <v>4</v>
      </c>
      <c r="M25" s="20"/>
      <c r="N25" s="18"/>
      <c r="O25" s="18"/>
      <c r="P25" s="18"/>
      <c r="Q25" s="18"/>
      <c r="R25" s="23">
        <f t="shared" si="11"/>
        <v>1.8355910593631997</v>
      </c>
      <c r="S25" s="23">
        <f t="shared" si="11"/>
        <v>0.34680427541667713</v>
      </c>
      <c r="T25" s="23">
        <f t="shared" si="11"/>
        <v>1.8228715134925466</v>
      </c>
      <c r="U25" s="23">
        <f t="shared" si="11"/>
        <v>0.56176820745008826</v>
      </c>
      <c r="V25" s="23">
        <f t="shared" si="11"/>
        <v>1.7772106731927659</v>
      </c>
      <c r="W25" s="23">
        <f t="shared" si="11"/>
        <v>0.22796340958381725</v>
      </c>
      <c r="X25" s="18"/>
      <c r="Z25" s="26">
        <f t="shared" si="12"/>
        <v>-2.5539409474380565E-2</v>
      </c>
      <c r="AA25" s="26">
        <f t="shared" si="12"/>
        <v>2.989745413136467E-2</v>
      </c>
      <c r="AB25" s="26">
        <f t="shared" si="12"/>
        <v>-2.3621130970195085E-2</v>
      </c>
      <c r="AC25" s="26">
        <f t="shared" si="12"/>
        <v>-2.7489352022844827E-3</v>
      </c>
      <c r="AD25" s="26">
        <f t="shared" si="12"/>
        <v>-1.4069804546036931E-2</v>
      </c>
      <c r="AE25" s="26">
        <f t="shared" si="12"/>
        <v>3.6081826061532395E-2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si="11"/>
        <v>1.6212776068712271</v>
      </c>
      <c r="S26" s="23">
        <f t="shared" si="11"/>
        <v>1.770062757137624</v>
      </c>
      <c r="T26" s="23">
        <f t="shared" si="11"/>
        <v>1.5592844085036266</v>
      </c>
      <c r="U26" s="23">
        <f t="shared" si="11"/>
        <v>1.5913228563417976</v>
      </c>
      <c r="V26" s="23">
        <f t="shared" si="11"/>
        <v>1.7073990460997719</v>
      </c>
      <c r="W26" s="23">
        <f t="shared" si="11"/>
        <v>1.647546571703594</v>
      </c>
      <c r="X26" s="18"/>
      <c r="Z26" s="26">
        <f t="shared" si="12"/>
        <v>1.2911213748537084E-2</v>
      </c>
      <c r="AA26" s="26">
        <f t="shared" si="12"/>
        <v>-1.0165784813684501E-2</v>
      </c>
      <c r="AB26" s="26">
        <f t="shared" si="12"/>
        <v>1.0871320677940792E-2</v>
      </c>
      <c r="AC26" s="26">
        <f t="shared" si="12"/>
        <v>-4.3657908292223579E-3</v>
      </c>
      <c r="AD26" s="26">
        <f t="shared" si="12"/>
        <v>-1.3102534837658828E-3</v>
      </c>
      <c r="AE26" s="26">
        <f t="shared" si="12"/>
        <v>-7.9407052998051383E-3</v>
      </c>
    </row>
    <row r="27" spans="2:46" x14ac:dyDescent="0.3">
      <c r="C27" s="22">
        <f>'First Iteration'!AK38</f>
        <v>0.16229141734894109</v>
      </c>
      <c r="D27" s="22">
        <f>'First Iteration'!AL38</f>
        <v>-0.89103780265105892</v>
      </c>
      <c r="E27" s="22">
        <f>'First Iteration'!AM38</f>
        <v>0.15252425734894109</v>
      </c>
      <c r="F27" s="22">
        <f>'First Iteration'!AN38</f>
        <v>-0.20205886265105891</v>
      </c>
      <c r="L27" s="18"/>
      <c r="M27" s="18">
        <f t="array" ref="M27:P32">MMULT(C4:H9,C27:F32)</f>
        <v>-1.4653357001193539</v>
      </c>
      <c r="N27" s="18">
        <v>-0.99692628302875397</v>
      </c>
      <c r="O27" s="18">
        <v>0.38016113118744616</v>
      </c>
      <c r="P27" s="18">
        <v>2.0795799798250463</v>
      </c>
      <c r="Q27" s="18"/>
      <c r="R27" s="18"/>
      <c r="S27" s="18"/>
      <c r="T27" s="18"/>
      <c r="U27" s="18"/>
      <c r="V27" s="18"/>
      <c r="W27" s="18"/>
      <c r="X27" s="18"/>
      <c r="Z27" s="26">
        <f t="shared" si="12"/>
        <v>-2.5941372448779181E-2</v>
      </c>
      <c r="AA27" s="26">
        <f t="shared" si="12"/>
        <v>3.0975559607082134E-2</v>
      </c>
      <c r="AB27" s="26">
        <f t="shared" si="12"/>
        <v>-2.3411702728046799E-2</v>
      </c>
      <c r="AC27" s="26">
        <f t="shared" si="12"/>
        <v>-3.7469961510623066E-3</v>
      </c>
      <c r="AD27" s="26">
        <f t="shared" si="12"/>
        <v>-1.5090085242766052E-2</v>
      </c>
      <c r="AE27" s="26">
        <f t="shared" si="12"/>
        <v>3.7214596963572211E-2</v>
      </c>
    </row>
    <row r="28" spans="2:46" x14ac:dyDescent="0.3">
      <c r="C28" s="22">
        <f>'First Iteration'!AK39</f>
        <v>-0.45883267072303563</v>
      </c>
      <c r="D28" s="22">
        <f>'First Iteration'!AL39</f>
        <v>0.18546646927696436</v>
      </c>
      <c r="E28" s="22">
        <f>'First Iteration'!AM39</f>
        <v>0.39512808927696436</v>
      </c>
      <c r="F28" s="22">
        <f>'First Iteration'!AN39</f>
        <v>0.3452683892769644</v>
      </c>
      <c r="L28" s="18"/>
      <c r="M28" s="18">
        <v>-1.8859929811528999</v>
      </c>
      <c r="N28" s="18">
        <v>0.32100960694407998</v>
      </c>
      <c r="O28" s="18">
        <v>1.2297200638035402</v>
      </c>
      <c r="P28" s="18">
        <v>1.3959121225156201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'First Iteration'!AK40</f>
        <v>-0.48477856089840538</v>
      </c>
      <c r="D29" s="22">
        <f>'First Iteration'!AL40</f>
        <v>-0.21977599089840538</v>
      </c>
      <c r="E29" s="22">
        <f>'First Iteration'!AM40</f>
        <v>0.10046191910159465</v>
      </c>
      <c r="F29" s="22">
        <f>'First Iteration'!AN40</f>
        <v>0.42260275910159467</v>
      </c>
      <c r="L29" s="18"/>
      <c r="M29" s="18">
        <v>-1.4140000914689754</v>
      </c>
      <c r="N29" s="18">
        <v>-1.1274613844689756</v>
      </c>
      <c r="O29" s="18">
        <v>0.46130443553102457</v>
      </c>
      <c r="P29" s="18">
        <v>2.1089338875310246</v>
      </c>
      <c r="Q29" s="18"/>
      <c r="R29" s="24">
        <f t="shared" ref="R29:W34" si="13">R21/SUM($R21:$W21)</f>
        <v>0.29498070253513586</v>
      </c>
      <c r="S29" s="24">
        <f t="shared" si="13"/>
        <v>4.0884288979897217E-2</v>
      </c>
      <c r="T29" s="24">
        <f t="shared" si="13"/>
        <v>0.29038769439091511</v>
      </c>
      <c r="U29" s="24">
        <f t="shared" si="13"/>
        <v>6.8119427518468958E-2</v>
      </c>
      <c r="V29" s="24">
        <f t="shared" si="13"/>
        <v>0.27828501252113347</v>
      </c>
      <c r="W29" s="24">
        <f t="shared" si="13"/>
        <v>2.7342874054449268E-2</v>
      </c>
      <c r="X29" s="18"/>
      <c r="Z29" s="1" t="s">
        <v>14</v>
      </c>
      <c r="AG29" s="1" t="s">
        <v>12</v>
      </c>
    </row>
    <row r="30" spans="2:46" x14ac:dyDescent="0.3">
      <c r="C30" s="22">
        <f>'First Iteration'!AK41</f>
        <v>-0.25575091974581016</v>
      </c>
      <c r="D30" s="22">
        <f>'First Iteration'!AL41</f>
        <v>-0.10899328974581018</v>
      </c>
      <c r="E30" s="22">
        <f>'First Iteration'!AM41</f>
        <v>-0.56933128974581015</v>
      </c>
      <c r="F30" s="22">
        <f>'First Iteration'!AN41</f>
        <v>-0.61426710974581022</v>
      </c>
      <c r="L30" s="18"/>
      <c r="M30" s="18">
        <v>-1.4510180346260588</v>
      </c>
      <c r="N30" s="18">
        <v>0.11521484666488106</v>
      </c>
      <c r="O30" s="18">
        <v>0.77927285724326101</v>
      </c>
      <c r="P30" s="18">
        <v>0.98707883537950114</v>
      </c>
      <c r="Q30" s="18"/>
      <c r="R30" s="24">
        <f t="shared" si="13"/>
        <v>0.15290314673574579</v>
      </c>
      <c r="S30" s="24">
        <f t="shared" si="13"/>
        <v>0.18820770504902853</v>
      </c>
      <c r="T30" s="24">
        <f t="shared" si="13"/>
        <v>0.15013179767863377</v>
      </c>
      <c r="U30" s="24">
        <f t="shared" si="13"/>
        <v>0.17576925065940019</v>
      </c>
      <c r="V30" s="24">
        <f t="shared" si="13"/>
        <v>0.16255125095117953</v>
      </c>
      <c r="W30" s="24">
        <f t="shared" si="13"/>
        <v>0.17043684892601216</v>
      </c>
      <c r="X30" s="18"/>
      <c r="Z30" s="28">
        <f t="array" ref="Z30:AC35">MMULT(TRANSPOSE(Z22:AE27),M9:P14)</f>
        <v>3.1477797425074408E-2</v>
      </c>
      <c r="AA30" s="28">
        <v>1.9423871325756743E-2</v>
      </c>
      <c r="AB30" s="28">
        <v>-0.18388581427630188</v>
      </c>
      <c r="AC30" s="28">
        <v>-9.9815200638593504E-2</v>
      </c>
      <c r="AG30" s="28">
        <f t="array" ref="AG30:AJ35">MMULT(TRANSPOSE(R29:W34),Z15:AC20)</f>
        <v>-8.5136645204436492E-2</v>
      </c>
      <c r="AH30" s="28">
        <v>-8.5136645204436492E-2</v>
      </c>
      <c r="AI30" s="28">
        <v>-8.5136645204436492E-2</v>
      </c>
      <c r="AJ30" s="28">
        <v>-8.5136645204436492E-2</v>
      </c>
    </row>
    <row r="31" spans="2:46" x14ac:dyDescent="0.3">
      <c r="C31" s="22">
        <f>'First Iteration'!AK42</f>
        <v>0.39624878618578219</v>
      </c>
      <c r="D31" s="22">
        <f>'First Iteration'!AL42</f>
        <v>0.66810588618578215</v>
      </c>
      <c r="E31" s="22">
        <f>'First Iteration'!AM42</f>
        <v>-4.6019183814217809E-2</v>
      </c>
      <c r="F31" s="22">
        <f>'First Iteration'!AN42</f>
        <v>0.49175232618578218</v>
      </c>
      <c r="L31" s="18"/>
      <c r="M31" s="18">
        <v>-1.3970118383863268</v>
      </c>
      <c r="N31" s="18">
        <v>-1.069417245356127</v>
      </c>
      <c r="O31" s="18">
        <v>0.51016750604927308</v>
      </c>
      <c r="P31" s="18">
        <v>2.1810515329284734</v>
      </c>
      <c r="Q31" s="18"/>
      <c r="R31" s="24">
        <f t="shared" si="13"/>
        <v>0.28406608619393381</v>
      </c>
      <c r="S31" s="24">
        <f t="shared" si="13"/>
        <v>4.9951182378208669E-2</v>
      </c>
      <c r="T31" s="24">
        <f t="shared" si="13"/>
        <v>0.28067913457047711</v>
      </c>
      <c r="U31" s="24">
        <f t="shared" si="13"/>
        <v>7.9843170401615565E-2</v>
      </c>
      <c r="V31" s="24">
        <f t="shared" si="13"/>
        <v>0.2714442980680225</v>
      </c>
      <c r="W31" s="24">
        <f t="shared" si="13"/>
        <v>3.4016128387742407E-2</v>
      </c>
      <c r="X31" s="18"/>
      <c r="Z31" s="28">
        <v>-4.2133079331020284E-2</v>
      </c>
      <c r="AA31" s="28">
        <v>-2.7487768062374504E-2</v>
      </c>
      <c r="AB31" s="28">
        <v>0.20883589672093325</v>
      </c>
      <c r="AC31" s="28">
        <v>9.5723198336462423E-2</v>
      </c>
      <c r="AG31" s="28">
        <v>0.26877769041785438</v>
      </c>
      <c r="AH31" s="28">
        <v>0.26877769041785438</v>
      </c>
      <c r="AI31" s="28">
        <v>0.26877769041785438</v>
      </c>
      <c r="AJ31" s="28">
        <v>0.26877769041785438</v>
      </c>
    </row>
    <row r="32" spans="2:46" x14ac:dyDescent="0.3">
      <c r="C32" s="22">
        <f>'First Iteration'!AK43</f>
        <v>0.17080388618578218</v>
      </c>
      <c r="D32" s="22">
        <f>'First Iteration'!AL43</f>
        <v>-0.33257400381421781</v>
      </c>
      <c r="E32" s="22">
        <f>'First Iteration'!AM43</f>
        <v>0.17068367618578217</v>
      </c>
      <c r="F32" s="22">
        <f>'First Iteration'!AN43</f>
        <v>0.75900415618578221</v>
      </c>
      <c r="L32" s="18"/>
      <c r="M32" s="18">
        <v>-2.3968345197142908</v>
      </c>
      <c r="N32" s="18">
        <v>0.48939189928570903</v>
      </c>
      <c r="O32" s="18">
        <v>1.5101748892857092</v>
      </c>
      <c r="P32" s="18">
        <v>1.6193961832857091</v>
      </c>
      <c r="Q32" s="18"/>
      <c r="R32" s="24">
        <f t="shared" si="13"/>
        <v>0.16923727306050146</v>
      </c>
      <c r="S32" s="24">
        <f t="shared" si="13"/>
        <v>0.16785287742012006</v>
      </c>
      <c r="T32" s="24">
        <f t="shared" si="13"/>
        <v>0.16726123253002884</v>
      </c>
      <c r="U32" s="24">
        <f t="shared" si="13"/>
        <v>0.16281161200994457</v>
      </c>
      <c r="V32" s="24">
        <f t="shared" si="13"/>
        <v>0.17464662631025915</v>
      </c>
      <c r="W32" s="24">
        <f t="shared" si="13"/>
        <v>0.15819037866914595</v>
      </c>
      <c r="X32" s="18"/>
      <c r="Z32" s="28">
        <v>2.9579933211549343E-2</v>
      </c>
      <c r="AA32" s="28">
        <v>1.8466922623896917E-2</v>
      </c>
      <c r="AB32" s="28">
        <v>-0.16559834887762084</v>
      </c>
      <c r="AC32" s="28">
        <v>-8.6633362592742846E-2</v>
      </c>
      <c r="AG32" s="28">
        <v>-8.751594090520956E-2</v>
      </c>
      <c r="AH32" s="28">
        <v>-8.751594090520956E-2</v>
      </c>
      <c r="AI32" s="28">
        <v>-8.751594090520956E-2</v>
      </c>
      <c r="AJ32" s="28">
        <v>-8.751594090520956E-2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3"/>
        <v>0.27929589894067131</v>
      </c>
      <c r="S33" s="24">
        <f t="shared" si="13"/>
        <v>5.2768295729535675E-2</v>
      </c>
      <c r="T33" s="24">
        <f t="shared" si="13"/>
        <v>0.27736054575841429</v>
      </c>
      <c r="U33" s="24">
        <f t="shared" si="13"/>
        <v>8.5476313308310223E-2</v>
      </c>
      <c r="V33" s="24">
        <f t="shared" si="13"/>
        <v>0.27041298226225197</v>
      </c>
      <c r="W33" s="24">
        <f t="shared" si="13"/>
        <v>3.4685964000816562E-2</v>
      </c>
      <c r="X33" s="18"/>
      <c r="Z33" s="28">
        <v>9.1836512405373931E-3</v>
      </c>
      <c r="AA33" s="28">
        <v>7.1347470927988765E-3</v>
      </c>
      <c r="AB33" s="28">
        <v>-1.4732297018160801E-2</v>
      </c>
      <c r="AC33" s="28">
        <v>1.0530825295767989E-2</v>
      </c>
      <c r="AG33" s="28">
        <v>0.20598604207976445</v>
      </c>
      <c r="AH33" s="28">
        <v>0.20598604207976445</v>
      </c>
      <c r="AI33" s="28">
        <v>0.20598604207976445</v>
      </c>
      <c r="AJ33" s="28">
        <v>0.20598604207976445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3"/>
        <v>0.1638168227608964</v>
      </c>
      <c r="S34" s="24">
        <f t="shared" si="13"/>
        <v>0.17885034353941387</v>
      </c>
      <c r="T34" s="24">
        <f t="shared" si="13"/>
        <v>0.15755291783411174</v>
      </c>
      <c r="U34" s="24">
        <f t="shared" si="13"/>
        <v>0.16079014057054886</v>
      </c>
      <c r="V34" s="24">
        <f t="shared" si="13"/>
        <v>0.17251868879927459</v>
      </c>
      <c r="W34" s="24">
        <f t="shared" si="13"/>
        <v>0.16647108649575462</v>
      </c>
      <c r="X34" s="18"/>
      <c r="Z34" s="28">
        <v>2.4876229365800979E-2</v>
      </c>
      <c r="AA34" s="28">
        <v>1.7912113189456451E-2</v>
      </c>
      <c r="AB34" s="28">
        <v>-8.5364414469631361E-2</v>
      </c>
      <c r="AC34" s="28">
        <v>-1.806726830478949E-2</v>
      </c>
      <c r="AG34" s="28">
        <v>-5.3005222520979015E-2</v>
      </c>
      <c r="AH34" s="28">
        <v>-5.3005222520979015E-2</v>
      </c>
      <c r="AI34" s="28">
        <v>-5.3005222520979015E-2</v>
      </c>
      <c r="AJ34" s="28">
        <v>-5.3005222520979015E-2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-5.2984531911941843E-2</v>
      </c>
      <c r="AA35" s="28">
        <v>-3.5449886169534484E-2</v>
      </c>
      <c r="AB35" s="28">
        <v>0.24074497792078167</v>
      </c>
      <c r="AC35" s="28">
        <v>9.8261807903895437E-2</v>
      </c>
      <c r="AG35" s="28">
        <v>0.26539942688607909</v>
      </c>
      <c r="AH35" s="28">
        <v>0.26539942688607909</v>
      </c>
      <c r="AI35" s="28">
        <v>0.26539942688607909</v>
      </c>
      <c r="AJ35" s="28">
        <v>0.26539942688607909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7.0573183024457125E-4</v>
      </c>
      <c r="AA38" s="28">
        <v>-3.3160898991309362E-2</v>
      </c>
      <c r="AB38" s="28">
        <v>6.54552209613549E-3</v>
      </c>
      <c r="AC38" s="28">
        <v>-4.6292414278251294E-2</v>
      </c>
      <c r="AF38">
        <f t="array" ref="AF38:AI43">MMULT(TRANSPOSE(C4:H9),AG30:AJ35)</f>
        <v>-0.2046478434078069</v>
      </c>
      <c r="AG38">
        <v>-0.2046478434078069</v>
      </c>
      <c r="AH38">
        <v>-0.2046478434078069</v>
      </c>
      <c r="AI38">
        <v>-0.2046478434078069</v>
      </c>
      <c r="AK38" s="22">
        <f t="shared" ref="AK38:AN43" si="14">C27-0.02*AF38</f>
        <v>0.16638437421709723</v>
      </c>
      <c r="AL38" s="22">
        <f t="shared" si="14"/>
        <v>-0.88694484578290278</v>
      </c>
      <c r="AM38" s="22">
        <f t="shared" si="14"/>
        <v>0.15661721421709723</v>
      </c>
      <c r="AN38" s="22">
        <f t="shared" si="14"/>
        <v>-0.19796590578290277</v>
      </c>
    </row>
    <row r="39" spans="12:40" x14ac:dyDescent="0.3">
      <c r="Z39" s="28">
        <v>-1.1144070587592522E-2</v>
      </c>
      <c r="AA39" s="28">
        <v>0.10327211491344296</v>
      </c>
      <c r="AB39" s="28">
        <v>-3.6916561137849059E-2</v>
      </c>
      <c r="AC39" s="28">
        <v>0.18881968889286074</v>
      </c>
      <c r="AF39">
        <v>2.0542450543267834</v>
      </c>
      <c r="AG39">
        <v>2.0542450543267834</v>
      </c>
      <c r="AH39">
        <v>2.0542450543267834</v>
      </c>
      <c r="AI39">
        <v>2.0542450543267834</v>
      </c>
      <c r="AK39" s="22">
        <f t="shared" si="14"/>
        <v>-0.4999175718095713</v>
      </c>
      <c r="AL39" s="22">
        <f t="shared" si="14"/>
        <v>0.14438156819042869</v>
      </c>
      <c r="AM39" s="22">
        <f t="shared" si="14"/>
        <v>0.35404318819042868</v>
      </c>
      <c r="AN39" s="22">
        <f t="shared" si="14"/>
        <v>0.30418348819042873</v>
      </c>
    </row>
    <row r="40" spans="12:40" x14ac:dyDescent="0.3">
      <c r="Z40" s="28">
        <v>9.5332606564546736E-4</v>
      </c>
      <c r="AA40" s="28">
        <v>-3.8170755076892486E-2</v>
      </c>
      <c r="AB40" s="28">
        <v>8.0106173668932704E-3</v>
      </c>
      <c r="AC40" s="28">
        <v>-5.4485033857528675E-2</v>
      </c>
      <c r="AF40">
        <v>6.3189733491822664E-2</v>
      </c>
      <c r="AG40">
        <v>6.3189733491822664E-2</v>
      </c>
      <c r="AH40">
        <v>6.3189733491822664E-2</v>
      </c>
      <c r="AI40">
        <v>6.3189733491822664E-2</v>
      </c>
      <c r="AK40" s="22">
        <f t="shared" si="14"/>
        <v>-0.48604235556824182</v>
      </c>
      <c r="AL40" s="22">
        <f t="shared" si="14"/>
        <v>-0.22103978556824183</v>
      </c>
      <c r="AM40" s="22">
        <f t="shared" si="14"/>
        <v>9.9198124431758197E-2</v>
      </c>
      <c r="AN40" s="22">
        <f t="shared" si="14"/>
        <v>0.42133896443175822</v>
      </c>
    </row>
    <row r="41" spans="12:40" x14ac:dyDescent="0.3">
      <c r="Z41" s="28">
        <v>-1.0122367927302804E-2</v>
      </c>
      <c r="AA41" s="28">
        <v>0.10271203812926631</v>
      </c>
      <c r="AB41" s="28">
        <v>-3.5348476898520657E-2</v>
      </c>
      <c r="AC41" s="28">
        <v>0.18387053973927311</v>
      </c>
      <c r="AF41">
        <v>-5.8610364512346261E-2</v>
      </c>
      <c r="AG41">
        <v>-5.8610364512346261E-2</v>
      </c>
      <c r="AH41">
        <v>-5.8610364512346261E-2</v>
      </c>
      <c r="AI41">
        <v>-5.8610364512346261E-2</v>
      </c>
      <c r="AK41" s="22">
        <f t="shared" si="14"/>
        <v>-0.25457871245556324</v>
      </c>
      <c r="AL41" s="22">
        <f t="shared" si="14"/>
        <v>-0.10782108245556327</v>
      </c>
      <c r="AM41" s="22">
        <f t="shared" si="14"/>
        <v>-0.56815908245556324</v>
      </c>
      <c r="AN41" s="22">
        <f t="shared" si="14"/>
        <v>-0.61309490245556331</v>
      </c>
    </row>
    <row r="42" spans="12:40" x14ac:dyDescent="0.3">
      <c r="Z42" s="28">
        <v>9.1532416275397037E-4</v>
      </c>
      <c r="AA42" s="28">
        <v>-3.9375613155044828E-2</v>
      </c>
      <c r="AB42" s="28">
        <v>8.2095888850421267E-3</v>
      </c>
      <c r="AC42" s="28">
        <v>-5.6042006672767916E-2</v>
      </c>
      <c r="AF42">
        <v>-0.22565780863062507</v>
      </c>
      <c r="AG42">
        <v>-0.22565780863062507</v>
      </c>
      <c r="AH42">
        <v>-0.22565780863062507</v>
      </c>
      <c r="AI42">
        <v>-0.22565780863062507</v>
      </c>
      <c r="AK42" s="22">
        <f t="shared" si="14"/>
        <v>0.40076194235839468</v>
      </c>
      <c r="AL42" s="22">
        <f t="shared" si="14"/>
        <v>0.67261904235839465</v>
      </c>
      <c r="AM42" s="22">
        <f t="shared" si="14"/>
        <v>-4.1506027641605311E-2</v>
      </c>
      <c r="AN42" s="22">
        <f t="shared" si="14"/>
        <v>0.49626548235839468</v>
      </c>
    </row>
    <row r="43" spans="12:40" x14ac:dyDescent="0.3">
      <c r="Z43" s="28">
        <v>-1.0709370221405695E-2</v>
      </c>
      <c r="AA43" s="28">
        <v>0.1044140142603594</v>
      </c>
      <c r="AB43" s="28">
        <v>-3.6572705971347437E-2</v>
      </c>
      <c r="AC43" s="28">
        <v>0.18865840090177066</v>
      </c>
      <c r="AF43">
        <v>-0.22565780863062507</v>
      </c>
      <c r="AG43">
        <v>-0.22565780863062507</v>
      </c>
      <c r="AH43">
        <v>-0.22565780863062507</v>
      </c>
      <c r="AI43">
        <v>-0.22565780863062507</v>
      </c>
      <c r="AK43" s="22">
        <f t="shared" si="14"/>
        <v>0.17531704235839468</v>
      </c>
      <c r="AL43" s="22">
        <f t="shared" si="14"/>
        <v>-0.32806084764160531</v>
      </c>
      <c r="AM43" s="22">
        <f t="shared" si="14"/>
        <v>0.17519683235839467</v>
      </c>
      <c r="AN43" s="22">
        <f t="shared" si="14"/>
        <v>0.76351731235839471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2.1942958201889465E-3</v>
      </c>
      <c r="AG48">
        <v>-0.10118351309308984</v>
      </c>
      <c r="AH48">
        <v>2.0535976379053144E-2</v>
      </c>
      <c r="AI48">
        <v>-0.14258865526589132</v>
      </c>
      <c r="AK48" s="22">
        <f t="shared" ref="AK48:AN53" si="15">C13-0.02*AF48</f>
        <v>0.24822710611912685</v>
      </c>
      <c r="AL48" s="22">
        <f t="shared" si="15"/>
        <v>-6.6302276578013089E-2</v>
      </c>
      <c r="AM48" s="22">
        <f t="shared" si="15"/>
        <v>0.32331757453159582</v>
      </c>
      <c r="AN48" s="22">
        <f t="shared" si="15"/>
        <v>0.76574457742406721</v>
      </c>
    </row>
    <row r="49" spans="27:40" x14ac:dyDescent="0.3">
      <c r="AF49">
        <v>-9.3940046444361949E-2</v>
      </c>
      <c r="AG49">
        <v>0.82218921081705232</v>
      </c>
      <c r="AH49">
        <v>-0.30497173274790734</v>
      </c>
      <c r="AI49">
        <v>1.5320142949556632</v>
      </c>
      <c r="AK49" s="22">
        <f t="shared" si="15"/>
        <v>-0.10459457918091748</v>
      </c>
      <c r="AL49" s="22">
        <f t="shared" si="15"/>
        <v>-0.16205683882754227</v>
      </c>
      <c r="AM49" s="22">
        <f t="shared" si="15"/>
        <v>0.80946479837120466</v>
      </c>
      <c r="AN49" s="22">
        <f t="shared" si="15"/>
        <v>0.27115660910214057</v>
      </c>
    </row>
    <row r="50" spans="27:40" x14ac:dyDescent="0.3">
      <c r="AF50">
        <v>-2.4252662560368995E-2</v>
      </c>
      <c r="AG50">
        <v>-2.1723634366671352E-2</v>
      </c>
      <c r="AH50">
        <v>-4.0540558963504489E-2</v>
      </c>
      <c r="AI50">
        <v>9.089026510826087E-2</v>
      </c>
      <c r="AK50" s="22">
        <f t="shared" si="15"/>
        <v>-0.23109183484843507</v>
      </c>
      <c r="AL50" s="22">
        <f t="shared" si="15"/>
        <v>0.26454878379758029</v>
      </c>
      <c r="AM50" s="22">
        <f t="shared" si="15"/>
        <v>-0.22680123962809462</v>
      </c>
      <c r="AN50" s="22">
        <f t="shared" si="15"/>
        <v>-0.25745234672009515</v>
      </c>
    </row>
    <row r="51" spans="27:40" x14ac:dyDescent="0.3">
      <c r="AF51">
        <v>-4.0557070911128529E-3</v>
      </c>
      <c r="AG51">
        <v>-3.6821245689243089E-2</v>
      </c>
      <c r="AH51">
        <v>-1.4104144505201321E-3</v>
      </c>
      <c r="AI51">
        <v>-2.7908952980569557E-2</v>
      </c>
      <c r="AK51" s="22">
        <f t="shared" si="15"/>
        <v>0.12166470412995724</v>
      </c>
      <c r="AL51" s="22">
        <f t="shared" si="15"/>
        <v>-0.95705419498466093</v>
      </c>
      <c r="AM51" s="22">
        <f t="shared" si="15"/>
        <v>-0.86165033367910449</v>
      </c>
      <c r="AN51" s="22">
        <f t="shared" si="15"/>
        <v>-0.28466067346171486</v>
      </c>
    </row>
    <row r="52" spans="27:40" x14ac:dyDescent="0.3">
      <c r="AF52">
        <v>2.574382058644009E-3</v>
      </c>
      <c r="AG52">
        <v>-0.11070726722324668</v>
      </c>
      <c r="AH52">
        <v>2.2765728348070887E-2</v>
      </c>
      <c r="AI52">
        <v>-0.15681945480854786</v>
      </c>
      <c r="AK52" s="22">
        <f t="shared" si="15"/>
        <v>-0.5065838853386706</v>
      </c>
      <c r="AL52" s="22">
        <f t="shared" si="15"/>
        <v>0.16028139404452585</v>
      </c>
      <c r="AM52" s="22">
        <f t="shared" si="15"/>
        <v>-0.45462376019154732</v>
      </c>
      <c r="AN52" s="22">
        <f t="shared" si="15"/>
        <v>-0.70133189241797289</v>
      </c>
    </row>
    <row r="53" spans="27:40" x14ac:dyDescent="0.3">
      <c r="AF53">
        <v>2.574382058644009E-3</v>
      </c>
      <c r="AG53">
        <v>-0.11070726722324668</v>
      </c>
      <c r="AH53">
        <v>2.2765728348070887E-2</v>
      </c>
      <c r="AI53">
        <v>-0.15681945480854786</v>
      </c>
      <c r="AK53" s="22">
        <f t="shared" si="15"/>
        <v>0.73265605466132944</v>
      </c>
      <c r="AL53" s="22">
        <f t="shared" si="15"/>
        <v>-0.10973042595547415</v>
      </c>
      <c r="AM53" s="22">
        <f t="shared" si="15"/>
        <v>3.3152379808452682E-2</v>
      </c>
      <c r="AN53" s="22">
        <f t="shared" si="15"/>
        <v>-0.70755413241797283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7.9544133894798766E-2</v>
      </c>
      <c r="AG56">
        <v>5.1739838194504575E-2</v>
      </c>
      <c r="AH56">
        <v>-0.40027264617490732</v>
      </c>
      <c r="AI56">
        <v>-0.18704259834043754</v>
      </c>
      <c r="AK56" s="22">
        <f t="shared" ref="AK56:AN61" si="16">C20-0.02*AF56</f>
        <v>-0.27737877104966935</v>
      </c>
      <c r="AL56" s="22">
        <f t="shared" si="16"/>
        <v>5.2720540366930697E-2</v>
      </c>
      <c r="AM56" s="22">
        <f t="shared" si="16"/>
        <v>-0.55404123671089911</v>
      </c>
      <c r="AN56" s="22">
        <f t="shared" si="16"/>
        <v>0.19799948337264806</v>
      </c>
    </row>
    <row r="57" spans="27:40" x14ac:dyDescent="0.3">
      <c r="AF57">
        <v>-0.2340361031573287</v>
      </c>
      <c r="AG57">
        <v>-0.15419044754055358</v>
      </c>
      <c r="AH57">
        <v>1.1251744301860507</v>
      </c>
      <c r="AI57">
        <v>0.49676264568037914</v>
      </c>
      <c r="AK57" s="22">
        <f t="shared" si="16"/>
        <v>-0.28178251138932242</v>
      </c>
      <c r="AL57" s="22">
        <f t="shared" si="16"/>
        <v>-0.1360858841321575</v>
      </c>
      <c r="AM57" s="22">
        <f t="shared" si="16"/>
        <v>-0.37456164457695817</v>
      </c>
      <c r="AN57" s="22">
        <f t="shared" si="16"/>
        <v>0.89227580435945397</v>
      </c>
    </row>
    <row r="58" spans="27:40" x14ac:dyDescent="0.3">
      <c r="AF58">
        <v>0.17186792000484946</v>
      </c>
      <c r="AG58">
        <v>0.11160581427822022</v>
      </c>
      <c r="AH58">
        <v>-0.86969715524710811</v>
      </c>
      <c r="AI58">
        <v>-0.40903166307225164</v>
      </c>
      <c r="AK58" s="22">
        <f t="shared" si="16"/>
        <v>-1.7895043375274984E-2</v>
      </c>
      <c r="AL58" s="22">
        <f t="shared" si="16"/>
        <v>-0.53474161947705068</v>
      </c>
      <c r="AM58" s="22">
        <f t="shared" si="16"/>
        <v>0.45753268225548771</v>
      </c>
      <c r="AN58" s="22">
        <f t="shared" si="16"/>
        <v>-0.58846352413830494</v>
      </c>
    </row>
    <row r="59" spans="27:40" x14ac:dyDescent="0.3">
      <c r="AF59">
        <v>5.9728783549532496E-2</v>
      </c>
      <c r="AG59">
        <v>3.8416999000291108E-2</v>
      </c>
      <c r="AH59">
        <v>-0.31105523619717007</v>
      </c>
      <c r="AI59">
        <v>-0.1510820143519252</v>
      </c>
      <c r="AK59" s="22">
        <f t="shared" si="16"/>
        <v>0.10080321703860118</v>
      </c>
      <c r="AL59" s="22">
        <f t="shared" si="16"/>
        <v>-0.98174577198395097</v>
      </c>
      <c r="AM59" s="22">
        <f t="shared" si="16"/>
        <v>-0.64867481930012061</v>
      </c>
      <c r="AN59" s="22">
        <f t="shared" si="16"/>
        <v>0.1058971405701008</v>
      </c>
    </row>
    <row r="60" spans="27:40" x14ac:dyDescent="0.3">
      <c r="AF60">
        <v>8.5933960002424731E-2</v>
      </c>
      <c r="AG60">
        <v>5.5802907139110111E-2</v>
      </c>
      <c r="AH60">
        <v>-0.43484857762355411</v>
      </c>
      <c r="AI60">
        <v>-0.20451583153612585</v>
      </c>
      <c r="AK60" s="22">
        <f t="shared" si="16"/>
        <v>0.3636600733123625</v>
      </c>
      <c r="AL60" s="22">
        <f t="shared" si="16"/>
        <v>8.2741060261474708E-2</v>
      </c>
      <c r="AM60" s="22">
        <f t="shared" si="16"/>
        <v>-3.4694028872256179E-2</v>
      </c>
      <c r="AN60" s="22">
        <f t="shared" si="16"/>
        <v>-0.13957270206915245</v>
      </c>
    </row>
    <row r="61" spans="27:40" x14ac:dyDescent="0.3">
      <c r="AF61">
        <v>8.5933960002424731E-2</v>
      </c>
      <c r="AG61">
        <v>5.5802907139110111E-2</v>
      </c>
      <c r="AH61">
        <v>-0.43484857762355411</v>
      </c>
      <c r="AI61">
        <v>-0.20451583153612585</v>
      </c>
      <c r="AK61" s="22">
        <f t="shared" si="16"/>
        <v>-0.7448342166876375</v>
      </c>
      <c r="AL61" s="22">
        <f t="shared" si="16"/>
        <v>-0.36286517973852533</v>
      </c>
      <c r="AM61" s="22">
        <f t="shared" si="16"/>
        <v>-0.20718927887225619</v>
      </c>
      <c r="AN61" s="22">
        <f t="shared" si="16"/>
        <v>0.53954025793084759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00AB-D9AC-43F5-8E65-6C889016FA93}">
  <dimension ref="B3:AT61"/>
  <sheetViews>
    <sheetView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1.8105333662650898</v>
      </c>
      <c r="S6" s="18">
        <v>-2.0583200530212546</v>
      </c>
      <c r="T6" s="18">
        <v>1.7763998429313714</v>
      </c>
      <c r="U6" s="18">
        <v>-1.0449113434874051</v>
      </c>
      <c r="V6" s="18">
        <v>1.6933371154202201</v>
      </c>
      <c r="W6" s="18">
        <v>-2.8580142530502899</v>
      </c>
      <c r="X6" s="18"/>
      <c r="Z6">
        <f t="array" ref="Z6:AC11">MMULT(R29:W34,M27:P32)</f>
        <v>-1.5173711668214904</v>
      </c>
      <c r="AA6">
        <v>-0.92065196160226914</v>
      </c>
      <c r="AB6">
        <v>0.49336750278587993</v>
      </c>
      <c r="AC6">
        <v>1.9547120726009539</v>
      </c>
      <c r="AE6" s="25">
        <f>1/(1+EXP(-SUM(Z6:AC6)))</f>
        <v>0.50251409055286078</v>
      </c>
      <c r="AG6" s="25">
        <f t="shared" ref="AG6:AG11" si="0">AE6-J4</f>
        <v>-0.49748590944713922</v>
      </c>
      <c r="AI6" s="25">
        <f>-J4*LN(AE6)-(1-J4)*LN(1-AE6)</f>
        <v>0.6881315985408295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0.52496242381143632</v>
      </c>
      <c r="S7" s="18">
        <v>0.34730642476253326</v>
      </c>
      <c r="T7" s="18">
        <v>0.48209313469179549</v>
      </c>
      <c r="U7" s="18">
        <v>0.35721062717832508</v>
      </c>
      <c r="V7" s="18">
        <v>0.63754647093430183</v>
      </c>
      <c r="W7" s="18">
        <v>1.4826117006778716E-2</v>
      </c>
      <c r="X7" s="18"/>
      <c r="Z7">
        <v>-1.7103562832055128</v>
      </c>
      <c r="AA7">
        <v>-0.50749240526045525</v>
      </c>
      <c r="AB7">
        <v>0.70330290644062732</v>
      </c>
      <c r="AC7">
        <v>1.6787585474304998</v>
      </c>
      <c r="AE7" s="25">
        <f t="shared" ref="AE7:AE11" si="1">1/(1+EXP(-SUM(Z7:AC7)))</f>
        <v>0.54096118665213488</v>
      </c>
      <c r="AG7" s="25">
        <f t="shared" si="0"/>
        <v>0.54096118665213488</v>
      </c>
      <c r="AI7" s="25">
        <f t="shared" ref="AI7:AI11" si="2">-J5*LN(AE7)-(1-J5)*LN(1-AE7)</f>
        <v>0.77862051182591374</v>
      </c>
      <c r="AM7" s="26">
        <f t="array" ref="AM7:AR12">MMULT(Z15:AC20,TRANSPOSE(M27:P32))</f>
        <v>6.3408960358253275E-2</v>
      </c>
      <c r="AN7" s="26">
        <v>-0.28014940268965649</v>
      </c>
      <c r="AO7" s="26">
        <v>4.6779231952847056E-2</v>
      </c>
      <c r="AP7" s="26">
        <v>-4.8759466147174302E-2</v>
      </c>
      <c r="AQ7" s="26">
        <v>-5.0070325848869057E-2</v>
      </c>
      <c r="AR7" s="26">
        <v>-0.27915004213931471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1.4560451186485277</v>
      </c>
      <c r="S8" s="18">
        <v>-1.9561408945597456</v>
      </c>
      <c r="T8" s="18">
        <v>1.4294669640050832</v>
      </c>
      <c r="U8" s="18">
        <v>-1.0217639842135549</v>
      </c>
      <c r="V8" s="18">
        <v>1.3644428863275664</v>
      </c>
      <c r="W8" s="18">
        <v>-2.7233188660730896</v>
      </c>
      <c r="X8" s="18"/>
      <c r="Z8">
        <v>-1.5303202062699182</v>
      </c>
      <c r="AA8">
        <v>-0.88693604565283168</v>
      </c>
      <c r="AB8">
        <v>0.50898665745936267</v>
      </c>
      <c r="AC8">
        <v>1.9297456930910337</v>
      </c>
      <c r="AE8" s="25">
        <f t="shared" si="1"/>
        <v>0.50536881830670799</v>
      </c>
      <c r="AG8" s="25">
        <f t="shared" si="0"/>
        <v>-0.49463118169329201</v>
      </c>
      <c r="AI8" s="25">
        <f t="shared" si="2"/>
        <v>0.68246678298973884</v>
      </c>
      <c r="AM8" s="26">
        <v>-6.8950267310884827E-2</v>
      </c>
      <c r="AN8" s="26">
        <v>0.30463164974321022</v>
      </c>
      <c r="AO8" s="26">
        <v>-5.0867267489063783E-2</v>
      </c>
      <c r="AP8" s="26">
        <v>5.3020554284267107E-2</v>
      </c>
      <c r="AQ8" s="26">
        <v>5.4445969972022112E-2</v>
      </c>
      <c r="AR8" s="26">
        <v>0.30354495510736257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/>
      <c r="M9" s="18">
        <f t="array" ref="M9:P14">MMULT(C4:H9,C13:F18)</f>
        <v>-0.24130719270876877</v>
      </c>
      <c r="N9" s="18">
        <v>-0.33069183054719575</v>
      </c>
      <c r="O9" s="18">
        <v>-0.88206325864908275</v>
      </c>
      <c r="P9" s="18">
        <v>-1.5505491887062606</v>
      </c>
      <c r="Q9" s="18"/>
      <c r="R9" s="18">
        <v>0.60786442810038799</v>
      </c>
      <c r="S9" s="18">
        <v>0.21958551447151309</v>
      </c>
      <c r="T9" s="18">
        <v>0.58004298860513359</v>
      </c>
      <c r="U9" s="18">
        <v>0.2518467253081153</v>
      </c>
      <c r="V9" s="18">
        <v>0.66441832958360758</v>
      </c>
      <c r="W9" s="18">
        <v>1.5540946542941803E-2</v>
      </c>
      <c r="X9" s="18"/>
      <c r="Z9">
        <v>-1.7042357554175123</v>
      </c>
      <c r="AA9">
        <v>-0.53007905494993623</v>
      </c>
      <c r="AB9">
        <v>0.69376998420993996</v>
      </c>
      <c r="AC9">
        <v>1.6967396261631995</v>
      </c>
      <c r="AE9" s="25">
        <f t="shared" si="1"/>
        <v>0.53896950454655679</v>
      </c>
      <c r="AG9" s="25">
        <f t="shared" si="0"/>
        <v>0.53896950454655679</v>
      </c>
      <c r="AI9" s="25">
        <f t="shared" si="2"/>
        <v>0.77429108751511866</v>
      </c>
      <c r="AM9" s="26">
        <v>6.3045100165351364E-2</v>
      </c>
      <c r="AN9" s="26">
        <v>-0.2785418189171418</v>
      </c>
      <c r="AO9" s="26">
        <v>4.6510798276187204E-2</v>
      </c>
      <c r="AP9" s="26">
        <v>-4.8479669275283355E-2</v>
      </c>
      <c r="AQ9" s="26">
        <v>-4.9783006859264178E-2</v>
      </c>
      <c r="AR9" s="26">
        <v>-0.27754819300620404</v>
      </c>
    </row>
    <row r="10" spans="2:46" x14ac:dyDescent="0.3">
      <c r="L10" s="18"/>
      <c r="M10" s="18">
        <v>-0.5313957323597156</v>
      </c>
      <c r="N10" s="18">
        <v>-0.31767795752888689</v>
      </c>
      <c r="O10" s="18">
        <v>2.1171387954044554</v>
      </c>
      <c r="P10" s="18">
        <v>0.53160296779930583</v>
      </c>
      <c r="Q10" s="18"/>
      <c r="R10" s="18">
        <v>1.1617257018926574</v>
      </c>
      <c r="S10" s="18">
        <v>-2.1137787541599562</v>
      </c>
      <c r="T10" s="18">
        <v>1.1452423475178481</v>
      </c>
      <c r="U10" s="18">
        <v>-1.1513144139715648</v>
      </c>
      <c r="V10" s="18">
        <v>1.0963233539732578</v>
      </c>
      <c r="W10" s="18">
        <v>-2.9530019521126682</v>
      </c>
      <c r="X10" s="18"/>
      <c r="Z10">
        <v>-1.5327498028206024</v>
      </c>
      <c r="AA10">
        <v>-0.87646535412175941</v>
      </c>
      <c r="AB10">
        <v>0.51314204124903473</v>
      </c>
      <c r="AC10">
        <v>1.9207395871049455</v>
      </c>
      <c r="AE10" s="25">
        <f t="shared" si="1"/>
        <v>0.50616630520651251</v>
      </c>
      <c r="AG10" s="25">
        <f t="shared" si="0"/>
        <v>-0.49383369479348749</v>
      </c>
      <c r="AI10" s="25">
        <f t="shared" si="2"/>
        <v>0.6808899972776139</v>
      </c>
      <c r="AM10" s="26">
        <v>-6.8696409886421561E-2</v>
      </c>
      <c r="AN10" s="26">
        <v>0.3035100731485173</v>
      </c>
      <c r="AO10" s="26">
        <v>-5.0679987090918033E-2</v>
      </c>
      <c r="AP10" s="26">
        <v>5.282534602940242E-2</v>
      </c>
      <c r="AQ10" s="26">
        <v>5.4245513697543268E-2</v>
      </c>
      <c r="AR10" s="26">
        <v>0.30242737944714315</v>
      </c>
    </row>
    <row r="11" spans="2:46" x14ac:dyDescent="0.3">
      <c r="L11" s="18"/>
      <c r="M11" s="18">
        <v>-0.21407257456747542</v>
      </c>
      <c r="N11" s="18">
        <v>-0.24551057140995769</v>
      </c>
      <c r="O11" s="18">
        <v>-0.74457802667577211</v>
      </c>
      <c r="P11" s="18">
        <v>-1.400536484585567</v>
      </c>
      <c r="Q11" s="18"/>
      <c r="R11" s="18">
        <v>1.3686410721640978</v>
      </c>
      <c r="S11" s="18">
        <v>0.7595735757594384</v>
      </c>
      <c r="T11" s="18">
        <v>1.2822806205084762</v>
      </c>
      <c r="U11" s="18">
        <v>0.74051992127446642</v>
      </c>
      <c r="V11" s="18">
        <v>1.4590948644832231</v>
      </c>
      <c r="W11" s="18">
        <v>0.43898615265218721</v>
      </c>
      <c r="X11" s="18"/>
      <c r="Z11">
        <v>-1.6837004633366994</v>
      </c>
      <c r="AA11">
        <v>-0.57187352956554804</v>
      </c>
      <c r="AB11">
        <v>0.67276586051962317</v>
      </c>
      <c r="AC11">
        <v>1.7253897244511243</v>
      </c>
      <c r="AE11" s="25">
        <f t="shared" si="1"/>
        <v>0.53558513273971997</v>
      </c>
      <c r="AG11" s="25">
        <f t="shared" si="0"/>
        <v>0.53558513273971997</v>
      </c>
      <c r="AI11" s="25">
        <f t="shared" si="2"/>
        <v>0.76697701575980992</v>
      </c>
      <c r="AM11" s="26">
        <v>6.2943453436759444E-2</v>
      </c>
      <c r="AN11" s="26">
        <v>-0.27809272985875755</v>
      </c>
      <c r="AO11" s="26">
        <v>4.6435809570061437E-2</v>
      </c>
      <c r="AP11" s="26">
        <v>-4.8401506186127652E-2</v>
      </c>
      <c r="AQ11" s="26">
        <v>-4.9702742417246482E-2</v>
      </c>
      <c r="AR11" s="26">
        <v>-0.27710070595690584</v>
      </c>
    </row>
    <row r="12" spans="2:46" x14ac:dyDescent="0.3">
      <c r="B12" t="s">
        <v>2</v>
      </c>
      <c r="L12" s="18"/>
      <c r="M12" s="18">
        <v>-0.41200794352884967</v>
      </c>
      <c r="N12" s="18">
        <v>-0.25202814889055924</v>
      </c>
      <c r="O12" s="18">
        <v>1.2249303102390336</v>
      </c>
      <c r="P12" s="18">
        <v>0.24008340046929522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0.72856283231817087</v>
      </c>
      <c r="AM12" s="26">
        <v>-6.826504189456073E-2</v>
      </c>
      <c r="AN12" s="26">
        <v>0.30160423074743559</v>
      </c>
      <c r="AO12" s="26">
        <v>-5.0361750311221698E-2</v>
      </c>
      <c r="AP12" s="26">
        <v>5.2493637815338057E-2</v>
      </c>
      <c r="AQ12" s="26">
        <v>5.390488777036806E-2</v>
      </c>
      <c r="AR12" s="26">
        <v>0.30052833564599601</v>
      </c>
    </row>
    <row r="13" spans="2:46" x14ac:dyDescent="0.3">
      <c r="C13" s="22">
        <f>'Second Iteration'!AK48</f>
        <v>0.24822710611912685</v>
      </c>
      <c r="D13" s="22">
        <f>'Second Iteration'!AL48</f>
        <v>-6.6302276578013089E-2</v>
      </c>
      <c r="E13" s="22">
        <f>'Second Iteration'!AM48</f>
        <v>0.32331757453159582</v>
      </c>
      <c r="F13" s="22">
        <f>'Second Iteration'!AN48</f>
        <v>0.76574457742406721</v>
      </c>
      <c r="L13" s="18"/>
      <c r="M13" s="18">
        <v>-0.23937274116523422</v>
      </c>
      <c r="N13" s="18">
        <v>-0.14629709845774896</v>
      </c>
      <c r="O13" s="18">
        <v>-0.67551972617632849</v>
      </c>
      <c r="P13" s="18">
        <v>-1.4125859628309028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'Second Iteration'!AK49</f>
        <v>-0.10459457918091748</v>
      </c>
      <c r="D14" s="22">
        <f>'Second Iteration'!AL49</f>
        <v>-0.16205683882754227</v>
      </c>
      <c r="E14" s="22">
        <f>'Second Iteration'!AM49</f>
        <v>0.80946479837120466</v>
      </c>
      <c r="F14" s="22">
        <f>'Second Iteration'!AN49</f>
        <v>0.27115660910214057</v>
      </c>
      <c r="L14" s="18"/>
      <c r="M14" s="18">
        <v>-0.61297074033311783</v>
      </c>
      <c r="N14" s="18">
        <v>-0.67079483000798712</v>
      </c>
      <c r="O14" s="18">
        <v>2.7525628537529925</v>
      </c>
      <c r="P14" s="18">
        <v>0.74177588764995273</v>
      </c>
      <c r="Q14" s="18"/>
      <c r="R14" s="23">
        <f>R6/SQRT(4)</f>
        <v>0.90526668313254488</v>
      </c>
      <c r="S14" s="23">
        <f t="shared" ref="S14:W19" si="3">S6/SQRT(4)</f>
        <v>-1.0291600265106273</v>
      </c>
      <c r="T14" s="23">
        <f t="shared" si="3"/>
        <v>0.88819992146568572</v>
      </c>
      <c r="U14" s="23">
        <f t="shared" si="3"/>
        <v>-0.52245567174370255</v>
      </c>
      <c r="V14" s="23">
        <f t="shared" si="3"/>
        <v>0.84666855771011007</v>
      </c>
      <c r="W14" s="23">
        <f t="shared" si="3"/>
        <v>-1.4290071265251449</v>
      </c>
      <c r="X14" s="18"/>
      <c r="Z14" s="1" t="s">
        <v>83</v>
      </c>
    </row>
    <row r="15" spans="2:46" x14ac:dyDescent="0.3">
      <c r="C15" s="22">
        <f>'Second Iteration'!AK50</f>
        <v>-0.23109183484843507</v>
      </c>
      <c r="D15" s="22">
        <f>'Second Iteration'!AL50</f>
        <v>0.26454878379758029</v>
      </c>
      <c r="E15" s="22">
        <f>'Second Iteration'!AM50</f>
        <v>-0.22680123962809462</v>
      </c>
      <c r="F15" s="22">
        <f>'Second Iteration'!AN50</f>
        <v>-0.25745234672009515</v>
      </c>
      <c r="L15" s="18"/>
      <c r="M15" s="18"/>
      <c r="N15" s="18"/>
      <c r="O15" s="18"/>
      <c r="P15" s="18"/>
      <c r="Q15" s="18"/>
      <c r="R15" s="23">
        <f t="shared" ref="R15:V19" si="4">R7/SQRT(4)</f>
        <v>0.26248121190571816</v>
      </c>
      <c r="S15" s="23">
        <f t="shared" si="4"/>
        <v>0.17365321238126663</v>
      </c>
      <c r="T15" s="23">
        <f t="shared" si="4"/>
        <v>0.24104656734589774</v>
      </c>
      <c r="U15" s="23">
        <f t="shared" si="4"/>
        <v>0.17860531358916254</v>
      </c>
      <c r="V15" s="23">
        <f t="shared" si="4"/>
        <v>0.31877323546715092</v>
      </c>
      <c r="W15" s="23">
        <f t="shared" si="3"/>
        <v>7.4130585033893581E-3</v>
      </c>
      <c r="X15" s="18"/>
      <c r="Z15" s="26">
        <f t="shared" ref="Z15:Z20" si="5">AG6</f>
        <v>-0.49748590944713922</v>
      </c>
      <c r="AA15" s="26">
        <f>Z15</f>
        <v>-0.49748590944713922</v>
      </c>
      <c r="AB15" s="26">
        <f>AA15</f>
        <v>-0.49748590944713922</v>
      </c>
      <c r="AC15" s="26">
        <f>AB15</f>
        <v>-0.49748590944713922</v>
      </c>
      <c r="AF15">
        <f t="shared" ref="AF15:AK20" si="6">R29*AM7</f>
        <v>1.8609157728167437E-2</v>
      </c>
      <c r="AG15">
        <f t="shared" si="6"/>
        <v>-1.1881053170954217E-2</v>
      </c>
      <c r="AH15">
        <f t="shared" si="6"/>
        <v>1.3496376062271652E-2</v>
      </c>
      <c r="AI15">
        <f t="shared" si="6"/>
        <v>-3.4322829731049964E-3</v>
      </c>
      <c r="AJ15">
        <f t="shared" si="6"/>
        <v>-1.3858226636438492E-2</v>
      </c>
      <c r="AK15">
        <f t="shared" si="6"/>
        <v>-7.9369116731734038E-3</v>
      </c>
      <c r="AM15">
        <f>SUM(AF15:AK15)</f>
        <v>-5.0029406632320205E-3</v>
      </c>
      <c r="AO15">
        <f t="shared" ref="AO15:AT20" si="7">AM7-$AM15</f>
        <v>6.8411901021485297E-2</v>
      </c>
      <c r="AP15">
        <f t="shared" si="7"/>
        <v>-0.27514646202642445</v>
      </c>
      <c r="AQ15">
        <f t="shared" si="7"/>
        <v>5.1782172616079078E-2</v>
      </c>
      <c r="AR15">
        <f t="shared" si="7"/>
        <v>-4.375652548394228E-2</v>
      </c>
      <c r="AS15">
        <f t="shared" si="7"/>
        <v>-4.5067385185637035E-2</v>
      </c>
      <c r="AT15">
        <f t="shared" si="7"/>
        <v>-0.27414710147608268</v>
      </c>
    </row>
    <row r="16" spans="2:46" x14ac:dyDescent="0.3">
      <c r="C16" s="22">
        <f>'Second Iteration'!AK51</f>
        <v>0.12166470412995724</v>
      </c>
      <c r="D16" s="22">
        <f>'Second Iteration'!AL51</f>
        <v>-0.95705419498466093</v>
      </c>
      <c r="E16" s="22">
        <f>'Second Iteration'!AM51</f>
        <v>-0.86165033367910449</v>
      </c>
      <c r="F16" s="22">
        <f>'Second Iteration'!AN51</f>
        <v>-0.28466067346171486</v>
      </c>
      <c r="L16" s="19" t="s">
        <v>3</v>
      </c>
      <c r="M16" s="20"/>
      <c r="N16" s="18"/>
      <c r="O16" s="18"/>
      <c r="P16" s="18"/>
      <c r="Q16" s="18"/>
      <c r="R16" s="23">
        <f t="shared" si="4"/>
        <v>0.72802255932426385</v>
      </c>
      <c r="S16" s="23">
        <f t="shared" si="4"/>
        <v>-0.9780704472798728</v>
      </c>
      <c r="T16" s="23">
        <f t="shared" si="4"/>
        <v>0.71473348200254161</v>
      </c>
      <c r="U16" s="23">
        <f t="shared" si="4"/>
        <v>-0.51088199210677743</v>
      </c>
      <c r="V16" s="23">
        <f t="shared" si="4"/>
        <v>0.68222144316378319</v>
      </c>
      <c r="W16" s="23">
        <f t="shared" si="3"/>
        <v>-1.3616594330365448</v>
      </c>
      <c r="X16" s="18"/>
      <c r="Z16" s="26">
        <f t="shared" si="5"/>
        <v>0.54096118665213488</v>
      </c>
      <c r="AA16" s="26">
        <f t="shared" ref="AA16:AC20" si="8">Z16</f>
        <v>0.54096118665213488</v>
      </c>
      <c r="AB16" s="26">
        <f t="shared" si="8"/>
        <v>0.54096118665213488</v>
      </c>
      <c r="AC16" s="26">
        <f t="shared" si="8"/>
        <v>0.54096118665213488</v>
      </c>
      <c r="AF16">
        <f t="shared" si="6"/>
        <v>-1.2211990690005668E-2</v>
      </c>
      <c r="AG16">
        <f t="shared" si="6"/>
        <v>4.9368282970086705E-2</v>
      </c>
      <c r="AH16">
        <f t="shared" si="6"/>
        <v>-8.8182005388071517E-3</v>
      </c>
      <c r="AI16">
        <f t="shared" si="6"/>
        <v>8.6351111896020728E-3</v>
      </c>
      <c r="AJ16">
        <f t="shared" si="6"/>
        <v>1.0201488981630506E-2</v>
      </c>
      <c r="AK16">
        <f t="shared" si="6"/>
        <v>4.1658040524496932E-2</v>
      </c>
      <c r="AM16">
        <f>SUM(AF16:AK16)</f>
        <v>8.8832732437003403E-2</v>
      </c>
      <c r="AO16">
        <f t="shared" si="7"/>
        <v>-0.15778299974788823</v>
      </c>
      <c r="AP16">
        <f t="shared" si="7"/>
        <v>0.21579891730620682</v>
      </c>
      <c r="AQ16">
        <f t="shared" si="7"/>
        <v>-0.13969999992606719</v>
      </c>
      <c r="AR16">
        <f t="shared" si="7"/>
        <v>-3.5812178152736296E-2</v>
      </c>
      <c r="AS16">
        <f t="shared" si="7"/>
        <v>-3.4386762464981291E-2</v>
      </c>
      <c r="AT16">
        <f t="shared" si="7"/>
        <v>0.21471222267035917</v>
      </c>
    </row>
    <row r="17" spans="2:46" x14ac:dyDescent="0.3">
      <c r="C17" s="22">
        <f>'Second Iteration'!AK52</f>
        <v>-0.5065838853386706</v>
      </c>
      <c r="D17" s="22">
        <f>'Second Iteration'!AL52</f>
        <v>0.16028139404452585</v>
      </c>
      <c r="E17" s="22">
        <f>'Second Iteration'!AM52</f>
        <v>-0.45462376019154732</v>
      </c>
      <c r="F17" s="22">
        <f>'Second Iteration'!AN52</f>
        <v>-0.70133189241797289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si="4"/>
        <v>0.30393221405019399</v>
      </c>
      <c r="S17" s="23">
        <f t="shared" si="4"/>
        <v>0.10979275723575654</v>
      </c>
      <c r="T17" s="23">
        <f t="shared" si="4"/>
        <v>0.2900214943025668</v>
      </c>
      <c r="U17" s="23">
        <f t="shared" si="4"/>
        <v>0.12592336265405765</v>
      </c>
      <c r="V17" s="23">
        <f t="shared" si="4"/>
        <v>0.33220916479180379</v>
      </c>
      <c r="W17" s="23">
        <f t="shared" si="3"/>
        <v>7.7704732714709013E-3</v>
      </c>
      <c r="X17" s="18"/>
      <c r="Z17" s="26">
        <f t="shared" si="5"/>
        <v>-0.49463118169329201</v>
      </c>
      <c r="AA17" s="26">
        <f t="shared" si="8"/>
        <v>-0.49463118169329201</v>
      </c>
      <c r="AB17" s="26">
        <f t="shared" si="8"/>
        <v>-0.49463118169329201</v>
      </c>
      <c r="AC17" s="26">
        <f t="shared" si="8"/>
        <v>-0.49463118169329201</v>
      </c>
      <c r="AF17">
        <f t="shared" si="6"/>
        <v>1.7824292296988765E-2</v>
      </c>
      <c r="AG17">
        <f t="shared" si="6"/>
        <v>-1.4298964412619143E-2</v>
      </c>
      <c r="AH17">
        <f t="shared" si="6"/>
        <v>1.2976075892899232E-2</v>
      </c>
      <c r="AI17">
        <f t="shared" si="6"/>
        <v>-3.9707376567733191E-3</v>
      </c>
      <c r="AJ17">
        <f t="shared" si="6"/>
        <v>-1.3444693577897404E-2</v>
      </c>
      <c r="AK17">
        <f t="shared" si="6"/>
        <v>-9.708720584952665E-3</v>
      </c>
      <c r="AM17">
        <f t="shared" ref="AM17:AM20" si="9">SUM(AF17:AK17)</f>
        <v>-1.0622748042354533E-2</v>
      </c>
      <c r="AO17">
        <f t="shared" si="7"/>
        <v>7.3667848207705902E-2</v>
      </c>
      <c r="AP17">
        <f t="shared" si="7"/>
        <v>-0.26791907087478728</v>
      </c>
      <c r="AQ17">
        <f t="shared" si="7"/>
        <v>5.7133546318541735E-2</v>
      </c>
      <c r="AR17">
        <f t="shared" si="7"/>
        <v>-3.7856921232928824E-2</v>
      </c>
      <c r="AS17">
        <f t="shared" si="7"/>
        <v>-3.9160258816909647E-2</v>
      </c>
      <c r="AT17">
        <f t="shared" si="7"/>
        <v>-0.26692544496384951</v>
      </c>
    </row>
    <row r="18" spans="2:46" x14ac:dyDescent="0.3">
      <c r="C18" s="22">
        <f>'Second Iteration'!AK53</f>
        <v>0.73265605466132944</v>
      </c>
      <c r="D18" s="22">
        <f>'Second Iteration'!AL53</f>
        <v>-0.10973042595547415</v>
      </c>
      <c r="E18" s="22">
        <f>'Second Iteration'!AM53</f>
        <v>3.3152379808452682E-2</v>
      </c>
      <c r="F18" s="22">
        <f>'Second Iteration'!AN53</f>
        <v>-0.70755413241797283</v>
      </c>
      <c r="L18" s="18"/>
      <c r="M18" s="18">
        <f t="array" ref="M18:P23">MMULT(C4:H9,C20:F25)</f>
        <v>-0.84918900657277652</v>
      </c>
      <c r="N18" s="18">
        <v>-2.957828425029823</v>
      </c>
      <c r="O18" s="18">
        <v>-0.35861999606290618</v>
      </c>
      <c r="P18" s="18">
        <v>-0.20067904624675725</v>
      </c>
      <c r="Q18" s="18"/>
      <c r="R18" s="23">
        <f t="shared" si="4"/>
        <v>0.58086285094632872</v>
      </c>
      <c r="S18" s="23">
        <f t="shared" si="4"/>
        <v>-1.0568893770799781</v>
      </c>
      <c r="T18" s="23">
        <f t="shared" si="4"/>
        <v>0.57262117375892407</v>
      </c>
      <c r="U18" s="23">
        <f t="shared" si="4"/>
        <v>-0.57565720698578238</v>
      </c>
      <c r="V18" s="23">
        <f t="shared" si="4"/>
        <v>0.54816167698662888</v>
      </c>
      <c r="W18" s="23">
        <f t="shared" si="3"/>
        <v>-1.4765009760563341</v>
      </c>
      <c r="X18" s="18"/>
      <c r="Z18" s="26">
        <f t="shared" si="5"/>
        <v>0.53896950454655679</v>
      </c>
      <c r="AA18" s="26">
        <f t="shared" si="8"/>
        <v>0.53896950454655679</v>
      </c>
      <c r="AB18" s="26">
        <f t="shared" si="8"/>
        <v>0.53896950454655679</v>
      </c>
      <c r="AC18" s="26">
        <f t="shared" si="8"/>
        <v>0.53896950454655679</v>
      </c>
      <c r="AF18">
        <f t="shared" si="6"/>
        <v>-1.2676926795966392E-2</v>
      </c>
      <c r="AG18">
        <f t="shared" si="6"/>
        <v>4.6125316145570618E-2</v>
      </c>
      <c r="AH18">
        <f t="shared" si="6"/>
        <v>-9.223061149577166E-3</v>
      </c>
      <c r="AI18">
        <f t="shared" si="6"/>
        <v>8.1585697341208744E-3</v>
      </c>
      <c r="AJ18">
        <f t="shared" si="6"/>
        <v>1.0297321947021106E-2</v>
      </c>
      <c r="AK18">
        <f t="shared" si="6"/>
        <v>4.1503014090646925E-2</v>
      </c>
      <c r="AM18">
        <f t="shared" si="9"/>
        <v>8.4184233971815958E-2</v>
      </c>
      <c r="AO18">
        <f t="shared" si="7"/>
        <v>-0.15288064385823752</v>
      </c>
      <c r="AP18">
        <f t="shared" si="7"/>
        <v>0.21932583917670134</v>
      </c>
      <c r="AQ18">
        <f t="shared" si="7"/>
        <v>-0.13486422106273399</v>
      </c>
      <c r="AR18">
        <f t="shared" si="7"/>
        <v>-3.1358887942413538E-2</v>
      </c>
      <c r="AS18">
        <f t="shared" si="7"/>
        <v>-2.993872027427269E-2</v>
      </c>
      <c r="AT18">
        <f t="shared" si="7"/>
        <v>0.21824314547532719</v>
      </c>
    </row>
    <row r="19" spans="2:46" x14ac:dyDescent="0.3">
      <c r="B19" t="s">
        <v>8</v>
      </c>
      <c r="C19" t="s">
        <v>9</v>
      </c>
      <c r="L19" s="18"/>
      <c r="M19" s="18">
        <v>-0.85462986691700604</v>
      </c>
      <c r="N19" s="18">
        <v>-1.0408949046928369</v>
      </c>
      <c r="O19" s="18">
        <v>-0.73395116558883611</v>
      </c>
      <c r="P19" s="18">
        <v>2.1000012182635914</v>
      </c>
      <c r="Q19" s="18"/>
      <c r="R19" s="23">
        <f t="shared" si="4"/>
        <v>0.6843205360820489</v>
      </c>
      <c r="S19" s="23">
        <f t="shared" si="4"/>
        <v>0.3797867878797192</v>
      </c>
      <c r="T19" s="23">
        <f t="shared" si="4"/>
        <v>0.64114031025423812</v>
      </c>
      <c r="U19" s="23">
        <f t="shared" si="4"/>
        <v>0.37025996063723321</v>
      </c>
      <c r="V19" s="23">
        <f t="shared" si="4"/>
        <v>0.72954743224161156</v>
      </c>
      <c r="W19" s="23">
        <f t="shared" si="3"/>
        <v>0.21949307632609361</v>
      </c>
      <c r="X19" s="18"/>
      <c r="Z19" s="26">
        <f t="shared" si="5"/>
        <v>-0.49383369479348749</v>
      </c>
      <c r="AA19" s="26">
        <f t="shared" si="8"/>
        <v>-0.49383369479348749</v>
      </c>
      <c r="AB19" s="26">
        <f t="shared" si="8"/>
        <v>-0.49383369479348749</v>
      </c>
      <c r="AC19" s="26">
        <f t="shared" si="8"/>
        <v>-0.49383369479348749</v>
      </c>
      <c r="AF19">
        <f t="shared" si="6"/>
        <v>1.7501765823831474E-2</v>
      </c>
      <c r="AG19">
        <f t="shared" si="6"/>
        <v>-1.503329505945218E-2</v>
      </c>
      <c r="AH19">
        <f t="shared" si="6"/>
        <v>1.2805749676983365E-2</v>
      </c>
      <c r="AI19">
        <f t="shared" si="6"/>
        <v>-4.2336982254448817E-3</v>
      </c>
      <c r="AJ19">
        <f t="shared" si="6"/>
        <v>-1.3375490409710875E-2</v>
      </c>
      <c r="AK19">
        <f t="shared" si="6"/>
        <v>-9.8461665209245985E-3</v>
      </c>
      <c r="AM19">
        <f t="shared" si="9"/>
        <v>-1.2181134714717696E-2</v>
      </c>
      <c r="AO19">
        <f t="shared" si="7"/>
        <v>7.5124588151477142E-2</v>
      </c>
      <c r="AP19">
        <f t="shared" si="7"/>
        <v>-0.26591159514403984</v>
      </c>
      <c r="AQ19">
        <f t="shared" si="7"/>
        <v>5.8616944284779135E-2</v>
      </c>
      <c r="AR19">
        <f t="shared" si="7"/>
        <v>-3.6220371471409954E-2</v>
      </c>
      <c r="AS19">
        <f t="shared" si="7"/>
        <v>-3.7521607702528784E-2</v>
      </c>
      <c r="AT19">
        <f t="shared" si="7"/>
        <v>-0.26491957124218812</v>
      </c>
    </row>
    <row r="20" spans="2:46" x14ac:dyDescent="0.3">
      <c r="C20" s="22">
        <f>'Second Iteration'!AK56</f>
        <v>-0.27737877104966935</v>
      </c>
      <c r="D20" s="22">
        <f>'Second Iteration'!AL56</f>
        <v>5.2720540366930697E-2</v>
      </c>
      <c r="E20" s="22">
        <f>'Second Iteration'!AM56</f>
        <v>-0.55404123671089911</v>
      </c>
      <c r="F20" s="22">
        <f>'Second Iteration'!AN56</f>
        <v>0.19799948337264806</v>
      </c>
      <c r="L20" s="18"/>
      <c r="M20" s="18">
        <v>-0.90329766060535066</v>
      </c>
      <c r="N20" s="18">
        <v>-2.8512855164589852</v>
      </c>
      <c r="O20" s="18">
        <v>-0.38169547963601513</v>
      </c>
      <c r="P20" s="18">
        <v>-0.17984030230802694</v>
      </c>
      <c r="Q20" s="18"/>
      <c r="R20" s="18"/>
      <c r="S20" s="18"/>
      <c r="T20" s="18"/>
      <c r="U20" s="18"/>
      <c r="V20" s="18"/>
      <c r="W20" s="18"/>
      <c r="X20" s="18"/>
      <c r="Z20" s="26">
        <f t="shared" si="5"/>
        <v>0.53558513273971997</v>
      </c>
      <c r="AA20" s="26">
        <f t="shared" si="8"/>
        <v>0.53558513273971997</v>
      </c>
      <c r="AB20" s="26">
        <f t="shared" si="8"/>
        <v>0.53558513273971997</v>
      </c>
      <c r="AC20" s="26">
        <f t="shared" si="8"/>
        <v>0.53558513273971997</v>
      </c>
      <c r="AF20">
        <f t="shared" si="6"/>
        <v>-1.3384805250718178E-2</v>
      </c>
      <c r="AG20">
        <f t="shared" si="6"/>
        <v>4.3610774383761604E-2</v>
      </c>
      <c r="AH20">
        <f t="shared" si="6"/>
        <v>-9.4571783030306857E-3</v>
      </c>
      <c r="AI20">
        <f t="shared" si="6"/>
        <v>7.5184028282922928E-3</v>
      </c>
      <c r="AJ20">
        <f t="shared" si="6"/>
        <v>1.105817944463079E-2</v>
      </c>
      <c r="AK20">
        <f t="shared" si="6"/>
        <v>3.7019207811312224E-2</v>
      </c>
      <c r="AM20">
        <f t="shared" si="9"/>
        <v>7.6364580914248054E-2</v>
      </c>
      <c r="AO20">
        <f t="shared" si="7"/>
        <v>-0.14462962280880878</v>
      </c>
      <c r="AP20">
        <f t="shared" si="7"/>
        <v>0.22523964983318753</v>
      </c>
      <c r="AQ20">
        <f t="shared" si="7"/>
        <v>-0.12672633122546975</v>
      </c>
      <c r="AR20">
        <f t="shared" si="7"/>
        <v>-2.3870943098909997E-2</v>
      </c>
      <c r="AS20">
        <f t="shared" si="7"/>
        <v>-2.2459693143879994E-2</v>
      </c>
      <c r="AT20">
        <f t="shared" si="7"/>
        <v>0.22416375473174796</v>
      </c>
    </row>
    <row r="21" spans="2:46" x14ac:dyDescent="0.3">
      <c r="C21" s="22">
        <f>'Second Iteration'!AK57</f>
        <v>-0.28178251138932242</v>
      </c>
      <c r="D21" s="22">
        <f>'Second Iteration'!AL57</f>
        <v>-0.1360858841321575</v>
      </c>
      <c r="E21" s="22">
        <f>'Second Iteration'!AM57</f>
        <v>-0.37456164457695817</v>
      </c>
      <c r="F21" s="22">
        <f>'Second Iteration'!AN57</f>
        <v>0.89227580435945397</v>
      </c>
      <c r="L21" s="18"/>
      <c r="M21" s="18">
        <v>-0.56570225597907098</v>
      </c>
      <c r="N21" s="18">
        <v>-1.0024257090009114</v>
      </c>
      <c r="O21" s="18">
        <v>-0.43011986730876484</v>
      </c>
      <c r="P21" s="18">
        <v>1.2204103584941972</v>
      </c>
      <c r="Q21" s="18"/>
      <c r="R21" s="23">
        <f>EXP(R14)</f>
        <v>2.4725912335157321</v>
      </c>
      <c r="S21" s="23">
        <f t="shared" ref="S21:W21" si="10">EXP(S14)</f>
        <v>0.35730696293092329</v>
      </c>
      <c r="T21" s="23">
        <f t="shared" si="10"/>
        <v>2.4307501695644014</v>
      </c>
      <c r="U21" s="23">
        <f t="shared" si="10"/>
        <v>0.59306239176874698</v>
      </c>
      <c r="V21" s="23">
        <f t="shared" si="10"/>
        <v>2.3318654223487152</v>
      </c>
      <c r="W21" s="23">
        <f t="shared" si="10"/>
        <v>0.23954664371909137</v>
      </c>
      <c r="X21" s="18"/>
      <c r="Z21" s="1" t="s">
        <v>81</v>
      </c>
    </row>
    <row r="22" spans="2:46" x14ac:dyDescent="0.3">
      <c r="C22" s="22">
        <f>'Second Iteration'!AK58</f>
        <v>-1.7895043375274984E-2</v>
      </c>
      <c r="D22" s="22">
        <f>'Second Iteration'!AL58</f>
        <v>-0.53474161947705068</v>
      </c>
      <c r="E22" s="22">
        <f>'Second Iteration'!AM58</f>
        <v>0.45753268225548771</v>
      </c>
      <c r="F22" s="22">
        <f>'Second Iteration'!AN58</f>
        <v>-0.58846352413830494</v>
      </c>
      <c r="L22" s="18"/>
      <c r="M22" s="18">
        <v>-0.89870187153297276</v>
      </c>
      <c r="N22" s="18">
        <v>-2.7559003830514044</v>
      </c>
      <c r="O22" s="18">
        <v>-0.28751367587162935</v>
      </c>
      <c r="P22" s="18">
        <v>-0.20090616903028391</v>
      </c>
      <c r="Q22" s="18"/>
      <c r="R22" s="23">
        <f t="shared" ref="R22:W26" si="11">EXP(R15)</f>
        <v>1.300152040559899</v>
      </c>
      <c r="S22" s="23">
        <f t="shared" si="11"/>
        <v>1.1896429408352847</v>
      </c>
      <c r="T22" s="23">
        <f t="shared" si="11"/>
        <v>1.2725802946152061</v>
      </c>
      <c r="U22" s="23">
        <f t="shared" si="11"/>
        <v>1.1955487841773049</v>
      </c>
      <c r="V22" s="23">
        <f t="shared" si="11"/>
        <v>1.3754393886689047</v>
      </c>
      <c r="W22" s="23">
        <f t="shared" si="11"/>
        <v>1.0074406032430983</v>
      </c>
      <c r="X22" s="18"/>
      <c r="Z22" s="26">
        <f t="shared" ref="Z22:AE27" si="12">R29*AO15/SQRT(4)</f>
        <v>1.0038706275893818E-2</v>
      </c>
      <c r="AA22" s="26">
        <f t="shared" si="12"/>
        <v>-5.8344399697993383E-3</v>
      </c>
      <c r="AB22" s="26">
        <f t="shared" si="12"/>
        <v>7.469892575967506E-3</v>
      </c>
      <c r="AC22" s="26">
        <f t="shared" si="12"/>
        <v>-1.5400576467291104E-3</v>
      </c>
      <c r="AD22" s="26">
        <f t="shared" si="12"/>
        <v>-6.2367682577038341E-3</v>
      </c>
      <c r="AE22" s="26">
        <f t="shared" si="12"/>
        <v>-3.8973329776290388E-3</v>
      </c>
    </row>
    <row r="23" spans="2:46" x14ac:dyDescent="0.3">
      <c r="C23" s="22">
        <f>'Second Iteration'!AK59</f>
        <v>0.10080321703860118</v>
      </c>
      <c r="D23" s="22">
        <f>'Second Iteration'!AL59</f>
        <v>-0.98174577198395097</v>
      </c>
      <c r="E23" s="22">
        <f>'Second Iteration'!AM59</f>
        <v>-0.64867481930012061</v>
      </c>
      <c r="F23" s="22">
        <f>'Second Iteration'!AN59</f>
        <v>0.1058971405701008</v>
      </c>
      <c r="L23" s="18"/>
      <c r="M23" s="18">
        <v>-1.1147841238209844</v>
      </c>
      <c r="N23" s="18">
        <v>-1.3736088876008661</v>
      </c>
      <c r="O23" s="18">
        <v>-1.2353163418423811</v>
      </c>
      <c r="P23" s="18">
        <v>3.0124088354705414</v>
      </c>
      <c r="Q23" s="18"/>
      <c r="R23" s="23">
        <f t="shared" si="11"/>
        <v>2.0709813132666075</v>
      </c>
      <c r="S23" s="23">
        <f t="shared" si="11"/>
        <v>0.37603598052688153</v>
      </c>
      <c r="T23" s="23">
        <f t="shared" si="11"/>
        <v>2.0436419423122945</v>
      </c>
      <c r="U23" s="23">
        <f t="shared" si="11"/>
        <v>0.59996617994872703</v>
      </c>
      <c r="V23" s="23">
        <f t="shared" si="11"/>
        <v>1.9782674633887838</v>
      </c>
      <c r="W23" s="23">
        <f t="shared" si="11"/>
        <v>0.25623521877140271</v>
      </c>
      <c r="X23" s="18"/>
      <c r="Z23" s="26">
        <f t="shared" si="12"/>
        <v>-1.3972712500696836E-2</v>
      </c>
      <c r="AA23" s="26">
        <f t="shared" si="12"/>
        <v>1.7486072151714455E-2</v>
      </c>
      <c r="AB23" s="26">
        <f t="shared" si="12"/>
        <v>-1.2108991453927201E-2</v>
      </c>
      <c r="AC23" s="26">
        <f t="shared" si="12"/>
        <v>-2.9162477124694839E-3</v>
      </c>
      <c r="AD23" s="26">
        <f t="shared" si="12"/>
        <v>-3.221507290445133E-3</v>
      </c>
      <c r="AE23" s="26">
        <f t="shared" si="12"/>
        <v>1.4733386805824202E-2</v>
      </c>
    </row>
    <row r="24" spans="2:46" x14ac:dyDescent="0.3">
      <c r="C24" s="22">
        <f>'Second Iteration'!AK60</f>
        <v>0.3636600733123625</v>
      </c>
      <c r="D24" s="22">
        <f>'Second Iteration'!AL60</f>
        <v>8.2741060261474708E-2</v>
      </c>
      <c r="E24" s="22">
        <f>'Second Iteration'!AM60</f>
        <v>-3.4694028872256179E-2</v>
      </c>
      <c r="F24" s="22">
        <f>'Second Iteration'!AN60</f>
        <v>-0.13957270206915245</v>
      </c>
      <c r="L24" s="18"/>
      <c r="M24" s="18"/>
      <c r="N24" s="18"/>
      <c r="O24" s="18"/>
      <c r="P24" s="18"/>
      <c r="Q24" s="18"/>
      <c r="R24" s="23">
        <f t="shared" si="11"/>
        <v>1.3551771910030783</v>
      </c>
      <c r="S24" s="23">
        <f t="shared" si="11"/>
        <v>1.116046753876057</v>
      </c>
      <c r="T24" s="23">
        <f t="shared" si="11"/>
        <v>1.3364562139109786</v>
      </c>
      <c r="U24" s="23">
        <f t="shared" si="11"/>
        <v>1.134195243238993</v>
      </c>
      <c r="V24" s="23">
        <f t="shared" si="11"/>
        <v>1.3940444030273085</v>
      </c>
      <c r="W24" s="23">
        <f t="shared" si="11"/>
        <v>1.0078007417482386</v>
      </c>
      <c r="X24" s="18"/>
      <c r="Z24" s="26">
        <f t="shared" si="12"/>
        <v>1.0413793109222446E-2</v>
      </c>
      <c r="AA24" s="26">
        <f t="shared" si="12"/>
        <v>-6.8768224369213501E-3</v>
      </c>
      <c r="AB24" s="26">
        <f t="shared" si="12"/>
        <v>7.969861414305595E-3</v>
      </c>
      <c r="AC24" s="26">
        <f t="shared" si="12"/>
        <v>-1.5503396058203958E-3</v>
      </c>
      <c r="AD24" s="26">
        <f t="shared" si="12"/>
        <v>-5.2879256742456963E-3</v>
      </c>
      <c r="AE24" s="26">
        <f t="shared" si="12"/>
        <v>-4.6685668065405981E-3</v>
      </c>
    </row>
    <row r="25" spans="2:46" x14ac:dyDescent="0.3">
      <c r="C25" s="22">
        <f>'Second Iteration'!AK61</f>
        <v>-0.7448342166876375</v>
      </c>
      <c r="D25" s="22">
        <f>'Second Iteration'!AL61</f>
        <v>-0.36286517973852533</v>
      </c>
      <c r="E25" s="22">
        <f>'Second Iteration'!AM61</f>
        <v>-0.20718927887225619</v>
      </c>
      <c r="F25" s="22">
        <f>'Second Iteration'!AN61</f>
        <v>0.53954025793084759</v>
      </c>
      <c r="L25" s="19" t="s">
        <v>4</v>
      </c>
      <c r="M25" s="20"/>
      <c r="N25" s="18"/>
      <c r="O25" s="18"/>
      <c r="P25" s="18"/>
      <c r="Q25" s="18"/>
      <c r="R25" s="23">
        <f t="shared" si="11"/>
        <v>1.7875801807547966</v>
      </c>
      <c r="S25" s="23">
        <f t="shared" si="11"/>
        <v>0.34753518160262409</v>
      </c>
      <c r="T25" s="23">
        <f t="shared" si="11"/>
        <v>1.7729080664238825</v>
      </c>
      <c r="U25" s="23">
        <f t="shared" si="11"/>
        <v>0.56233517673165567</v>
      </c>
      <c r="V25" s="23">
        <f t="shared" si="11"/>
        <v>1.7300696658677683</v>
      </c>
      <c r="W25" s="23">
        <f t="shared" si="11"/>
        <v>0.22843559323596621</v>
      </c>
      <c r="X25" s="18"/>
      <c r="Z25" s="26">
        <f t="shared" si="12"/>
        <v>-1.4105953527377561E-2</v>
      </c>
      <c r="AA25" s="26">
        <f t="shared" si="12"/>
        <v>1.6665795579653808E-2</v>
      </c>
      <c r="AB25" s="26">
        <f t="shared" si="12"/>
        <v>-1.2271717389353787E-2</v>
      </c>
      <c r="AC25" s="26">
        <f t="shared" si="12"/>
        <v>-2.421599604101612E-3</v>
      </c>
      <c r="AD25" s="26">
        <f t="shared" si="12"/>
        <v>-2.8416049580147675E-3</v>
      </c>
      <c r="AE25" s="26">
        <f t="shared" si="12"/>
        <v>1.4975079899193919E-2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si="11"/>
        <v>1.9824243919749456</v>
      </c>
      <c r="S26" s="23">
        <f t="shared" si="11"/>
        <v>1.4619728458713912</v>
      </c>
      <c r="T26" s="23">
        <f t="shared" si="11"/>
        <v>1.8986446893715248</v>
      </c>
      <c r="U26" s="23">
        <f t="shared" si="11"/>
        <v>1.4481110175991507</v>
      </c>
      <c r="V26" s="23">
        <f t="shared" si="11"/>
        <v>2.0741417055694678</v>
      </c>
      <c r="W26" s="23">
        <f t="shared" si="11"/>
        <v>1.2454452248692649</v>
      </c>
      <c r="X26" s="18"/>
      <c r="Z26" s="26">
        <f t="shared" si="12"/>
        <v>1.0444397929007474E-2</v>
      </c>
      <c r="AA26" s="26">
        <f t="shared" si="12"/>
        <v>-7.1874001732448638E-3</v>
      </c>
      <c r="AB26" s="26">
        <f t="shared" si="12"/>
        <v>8.082489810024962E-3</v>
      </c>
      <c r="AC26" s="26">
        <f t="shared" si="12"/>
        <v>-1.5841048606397834E-3</v>
      </c>
      <c r="AD26" s="26">
        <f t="shared" si="12"/>
        <v>-5.0487144126675227E-3</v>
      </c>
      <c r="AE26" s="26">
        <f t="shared" si="12"/>
        <v>-4.7066682924802646E-3</v>
      </c>
    </row>
    <row r="27" spans="2:46" x14ac:dyDescent="0.3">
      <c r="C27" s="22">
        <f>'Second Iteration'!AK38</f>
        <v>0.16638437421709723</v>
      </c>
      <c r="D27" s="22">
        <f>'Second Iteration'!AL38</f>
        <v>-0.88694484578290278</v>
      </c>
      <c r="E27" s="22">
        <f>'Second Iteration'!AM38</f>
        <v>0.15661721421709723</v>
      </c>
      <c r="F27" s="22">
        <f>'Second Iteration'!AN38</f>
        <v>-0.19796590578290277</v>
      </c>
      <c r="L27" s="18"/>
      <c r="M27" s="18">
        <f t="array" ref="M27:P32">MMULT(C4:H9,C27:F32)</f>
        <v>-1.4965701837554533</v>
      </c>
      <c r="N27" s="18">
        <v>-1.0281607666648533</v>
      </c>
      <c r="O27" s="18">
        <v>0.34892664755134678</v>
      </c>
      <c r="P27" s="18">
        <v>2.0483454961889471</v>
      </c>
      <c r="Q27" s="18"/>
      <c r="R27" s="18"/>
      <c r="S27" s="18"/>
      <c r="T27" s="18"/>
      <c r="U27" s="18"/>
      <c r="V27" s="18"/>
      <c r="W27" s="18"/>
      <c r="X27" s="18"/>
      <c r="Z27" s="26">
        <f t="shared" si="12"/>
        <v>-1.4178848214659768E-2</v>
      </c>
      <c r="AA27" s="26">
        <f t="shared" si="12"/>
        <v>1.6284379577185568E-2</v>
      </c>
      <c r="AB27" s="26">
        <f t="shared" si="12"/>
        <v>-1.1898648306323326E-2</v>
      </c>
      <c r="AC27" s="26">
        <f t="shared" si="12"/>
        <v>-1.7094582655920426E-3</v>
      </c>
      <c r="AD27" s="26">
        <f t="shared" si="12"/>
        <v>-2.3037179681588736E-3</v>
      </c>
      <c r="AE27" s="26">
        <f t="shared" si="12"/>
        <v>1.3806293177548435E-2</v>
      </c>
    </row>
    <row r="28" spans="2:46" x14ac:dyDescent="0.3">
      <c r="C28" s="22">
        <f>'Second Iteration'!AK39</f>
        <v>-0.4999175718095713</v>
      </c>
      <c r="D28" s="22">
        <f>'Second Iteration'!AL39</f>
        <v>0.14438156819042869</v>
      </c>
      <c r="E28" s="22">
        <f>'Second Iteration'!AM39</f>
        <v>0.35404318819042868</v>
      </c>
      <c r="F28" s="22">
        <f>'Second Iteration'!AN39</f>
        <v>0.30418348819042873</v>
      </c>
      <c r="L28" s="18"/>
      <c r="M28" s="18">
        <v>-2.0103726025185296</v>
      </c>
      <c r="N28" s="18">
        <v>0.19662998557845054</v>
      </c>
      <c r="O28" s="18">
        <v>1.1053404424379105</v>
      </c>
      <c r="P28" s="18">
        <v>1.2715325011499907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'Second Iteration'!AK40</f>
        <v>-0.48604235556824182</v>
      </c>
      <c r="D29" s="22">
        <f>'Second Iteration'!AL40</f>
        <v>-0.22103978556824183</v>
      </c>
      <c r="E29" s="22">
        <f>'Second Iteration'!AM40</f>
        <v>9.9198124431758197E-2</v>
      </c>
      <c r="F29" s="22">
        <f>'Second Iteration'!AN40</f>
        <v>0.42133896443175822</v>
      </c>
      <c r="L29" s="18"/>
      <c r="M29" s="18">
        <v>-1.4447021207904172</v>
      </c>
      <c r="N29" s="18">
        <v>-1.1581634137904173</v>
      </c>
      <c r="O29" s="18">
        <v>0.43060240620958284</v>
      </c>
      <c r="P29" s="18">
        <v>2.0782318582095831</v>
      </c>
      <c r="Q29" s="18"/>
      <c r="R29" s="24">
        <f t="shared" ref="R29:W34" si="13">R21/SUM($R21:$W21)</f>
        <v>0.29347836051920506</v>
      </c>
      <c r="S29" s="24">
        <f t="shared" si="13"/>
        <v>4.240970373981412E-2</v>
      </c>
      <c r="T29" s="24">
        <f t="shared" si="13"/>
        <v>0.28851213452747254</v>
      </c>
      <c r="U29" s="24">
        <f t="shared" si="13"/>
        <v>7.0392136016113938E-2</v>
      </c>
      <c r="V29" s="24">
        <f t="shared" si="13"/>
        <v>0.27677524364965778</v>
      </c>
      <c r="W29" s="24">
        <f t="shared" si="13"/>
        <v>2.8432421547736498E-2</v>
      </c>
      <c r="X29" s="18"/>
      <c r="Z29" s="1" t="s">
        <v>14</v>
      </c>
      <c r="AG29" s="1" t="s">
        <v>12</v>
      </c>
    </row>
    <row r="30" spans="2:46" x14ac:dyDescent="0.3">
      <c r="C30" s="22">
        <f>'Second Iteration'!AK41</f>
        <v>-0.25457871245556324</v>
      </c>
      <c r="D30" s="22">
        <f>'Second Iteration'!AL41</f>
        <v>-0.10782108245556327</v>
      </c>
      <c r="E30" s="22">
        <f>'Second Iteration'!AM41</f>
        <v>-0.56815908245556324</v>
      </c>
      <c r="F30" s="22">
        <f>'Second Iteration'!AN41</f>
        <v>-0.61309490245556331</v>
      </c>
      <c r="L30" s="18"/>
      <c r="M30" s="18">
        <v>-1.5341522225065491</v>
      </c>
      <c r="N30" s="18">
        <v>3.2080658784390891E-2</v>
      </c>
      <c r="O30" s="18">
        <v>0.69613866936277091</v>
      </c>
      <c r="P30" s="18">
        <v>0.90394464749901116</v>
      </c>
      <c r="Q30" s="18"/>
      <c r="R30" s="24">
        <f t="shared" si="13"/>
        <v>0.17711302894510786</v>
      </c>
      <c r="S30" s="24">
        <f t="shared" si="13"/>
        <v>0.16205894237089871</v>
      </c>
      <c r="T30" s="24">
        <f t="shared" si="13"/>
        <v>0.1733570717299297</v>
      </c>
      <c r="U30" s="24">
        <f t="shared" si="13"/>
        <v>0.16286346504990021</v>
      </c>
      <c r="V30" s="24">
        <f t="shared" si="13"/>
        <v>0.18736903735708438</v>
      </c>
      <c r="W30" s="24">
        <f t="shared" si="13"/>
        <v>0.13723845454707906</v>
      </c>
      <c r="X30" s="18"/>
      <c r="Z30" s="28">
        <f t="array" ref="Z30:AC35">MMULT(TRANSPOSE(Z22:AE27),M9:P14)</f>
        <v>1.477620009004367E-2</v>
      </c>
      <c r="AA30" s="28">
        <v>1.0100618638419542E-2</v>
      </c>
      <c r="AB30" s="28">
        <v>-0.10955320497033072</v>
      </c>
      <c r="AC30" s="28">
        <v>-6.623608341245027E-2</v>
      </c>
      <c r="AG30" s="28">
        <f t="array" ref="AG30:AJ35">MMULT(TRANSPOSE(R29:W34),Z15:AC20)</f>
        <v>-0.12287493912928159</v>
      </c>
      <c r="AH30" s="28">
        <v>-0.12287493912928159</v>
      </c>
      <c r="AI30" s="28">
        <v>-0.12287493912928159</v>
      </c>
      <c r="AJ30" s="28">
        <v>-0.12287493912928159</v>
      </c>
    </row>
    <row r="31" spans="2:46" x14ac:dyDescent="0.3">
      <c r="C31" s="22">
        <f>'Second Iteration'!AK42</f>
        <v>0.40076194235839468</v>
      </c>
      <c r="D31" s="22">
        <f>'Second Iteration'!AL42</f>
        <v>0.67261904235839465</v>
      </c>
      <c r="E31" s="22">
        <f>'Second Iteration'!AM42</f>
        <v>-4.1506027641605311E-2</v>
      </c>
      <c r="F31" s="22">
        <f>'Second Iteration'!AN42</f>
        <v>0.49626548235839468</v>
      </c>
      <c r="L31" s="18"/>
      <c r="M31" s="18">
        <v>-1.4280476467846874</v>
      </c>
      <c r="N31" s="18">
        <v>-1.1004530537544877</v>
      </c>
      <c r="O31" s="18">
        <v>0.47913169765091262</v>
      </c>
      <c r="P31" s="18">
        <v>2.1500157245301126</v>
      </c>
      <c r="Q31" s="18"/>
      <c r="R31" s="24">
        <f t="shared" si="13"/>
        <v>0.28272288013247898</v>
      </c>
      <c r="S31" s="24">
        <f t="shared" si="13"/>
        <v>5.1335072299763626E-2</v>
      </c>
      <c r="T31" s="24">
        <f t="shared" si="13"/>
        <v>0.27899060807010012</v>
      </c>
      <c r="U31" s="24">
        <f t="shared" si="13"/>
        <v>8.1905213383906911E-2</v>
      </c>
      <c r="V31" s="24">
        <f t="shared" si="13"/>
        <v>0.27006592060430085</v>
      </c>
      <c r="W31" s="24">
        <f t="shared" si="13"/>
        <v>3.4980305509449472E-2</v>
      </c>
      <c r="X31" s="18"/>
      <c r="Z31" s="28">
        <v>-2.1539813391117085E-2</v>
      </c>
      <c r="AA31" s="28">
        <v>-1.6009436895747249E-2</v>
      </c>
      <c r="AB31" s="28">
        <v>0.11738056481096296</v>
      </c>
      <c r="AC31" s="28">
        <v>5.4206836317616032E-2</v>
      </c>
      <c r="AG31" s="28">
        <v>0.17383375787824301</v>
      </c>
      <c r="AH31" s="28">
        <v>0.17383375787824301</v>
      </c>
      <c r="AI31" s="28">
        <v>0.17383375787824301</v>
      </c>
      <c r="AJ31" s="28">
        <v>0.17383375787824301</v>
      </c>
    </row>
    <row r="32" spans="2:46" x14ac:dyDescent="0.3">
      <c r="C32" s="22">
        <f>'Second Iteration'!AK43</f>
        <v>0.17531704235839468</v>
      </c>
      <c r="D32" s="22">
        <f>'Second Iteration'!AL43</f>
        <v>-0.32806084764160531</v>
      </c>
      <c r="E32" s="22">
        <f>'Second Iteration'!AM43</f>
        <v>0.17519683235839467</v>
      </c>
      <c r="F32" s="22">
        <f>'Second Iteration'!AN43</f>
        <v>0.76351731235839471</v>
      </c>
      <c r="L32" s="18"/>
      <c r="M32" s="18">
        <v>-2.5620862565431959</v>
      </c>
      <c r="N32" s="18">
        <v>0.32414016245680394</v>
      </c>
      <c r="O32" s="18">
        <v>1.3449231524568039</v>
      </c>
      <c r="P32" s="18">
        <v>1.4541444464568041</v>
      </c>
      <c r="Q32" s="18"/>
      <c r="R32" s="24">
        <f t="shared" si="13"/>
        <v>0.18453550654139927</v>
      </c>
      <c r="S32" s="24">
        <f t="shared" si="13"/>
        <v>0.15197293344198171</v>
      </c>
      <c r="T32" s="24">
        <f t="shared" si="13"/>
        <v>0.1819862568834387</v>
      </c>
      <c r="U32" s="24">
        <f t="shared" si="13"/>
        <v>0.1544442270114017</v>
      </c>
      <c r="V32" s="24">
        <f t="shared" si="13"/>
        <v>0.18982808429902401</v>
      </c>
      <c r="W32" s="24">
        <f t="shared" si="13"/>
        <v>0.1372329918227547</v>
      </c>
      <c r="X32" s="18"/>
      <c r="Z32" s="28">
        <v>1.3340839387727548E-2</v>
      </c>
      <c r="AA32" s="28">
        <v>9.3117671707873238E-3</v>
      </c>
      <c r="AB32" s="28">
        <v>-9.1403174282444252E-2</v>
      </c>
      <c r="AC32" s="28">
        <v>-5.2371271055236077E-2</v>
      </c>
      <c r="AG32" s="28">
        <v>-0.12527493907597281</v>
      </c>
      <c r="AH32" s="28">
        <v>-0.12527493907597281</v>
      </c>
      <c r="AI32" s="28">
        <v>-0.12527493907597281</v>
      </c>
      <c r="AJ32" s="28">
        <v>-0.12527493907597281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3"/>
        <v>0.27805537936388969</v>
      </c>
      <c r="S33" s="24">
        <f t="shared" si="13"/>
        <v>5.405856912220447E-2</v>
      </c>
      <c r="T33" s="24">
        <f t="shared" si="13"/>
        <v>0.27577315428650601</v>
      </c>
      <c r="U33" s="24">
        <f t="shared" si="13"/>
        <v>8.7470381792752988E-2</v>
      </c>
      <c r="V33" s="24">
        <f t="shared" si="13"/>
        <v>0.26910970620948432</v>
      </c>
      <c r="W33" s="24">
        <f t="shared" si="13"/>
        <v>3.5532809225162547E-2</v>
      </c>
      <c r="X33" s="18"/>
      <c r="Z33" s="28">
        <v>4.6779514614730582E-3</v>
      </c>
      <c r="AA33" s="28">
        <v>3.8050938388089241E-3</v>
      </c>
      <c r="AB33" s="28">
        <v>-1.0262912092860885E-2</v>
      </c>
      <c r="AC33" s="28">
        <v>3.3972198772635126E-3</v>
      </c>
      <c r="AG33" s="28">
        <v>0.12932494818897081</v>
      </c>
      <c r="AH33" s="28">
        <v>0.12932494818897081</v>
      </c>
      <c r="AI33" s="28">
        <v>0.12932494818897081</v>
      </c>
      <c r="AJ33" s="28">
        <v>0.12932494818897081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3"/>
        <v>0.1960711497312457</v>
      </c>
      <c r="S34" s="24">
        <f t="shared" si="13"/>
        <v>0.14459602995516802</v>
      </c>
      <c r="T34" s="24">
        <f t="shared" si="13"/>
        <v>0.18778494084474701</v>
      </c>
      <c r="U34" s="24">
        <f t="shared" si="13"/>
        <v>0.14322502956911665</v>
      </c>
      <c r="V34" s="24">
        <f t="shared" si="13"/>
        <v>0.20514242589165649</v>
      </c>
      <c r="W34" s="24">
        <f t="shared" si="13"/>
        <v>0.1231804240080662</v>
      </c>
      <c r="X34" s="18"/>
      <c r="Z34" s="28">
        <v>8.1402722608119038E-3</v>
      </c>
      <c r="AA34" s="28">
        <v>7.3841906316884512E-3</v>
      </c>
      <c r="AB34" s="28">
        <v>-3.7932710375998538E-3</v>
      </c>
      <c r="AC34" s="28">
        <v>2.0104464448141159E-2</v>
      </c>
      <c r="AG34" s="28">
        <v>-9.0628091029360688E-2</v>
      </c>
      <c r="AH34" s="28">
        <v>-9.0628091029360688E-2</v>
      </c>
      <c r="AI34" s="28">
        <v>-9.0628091029360688E-2</v>
      </c>
      <c r="AJ34" s="28">
        <v>-9.0628091029360688E-2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-1.9395449808939091E-2</v>
      </c>
      <c r="AA35" s="28">
        <v>-1.4592233383956991E-2</v>
      </c>
      <c r="AB35" s="28">
        <v>9.7631997572272755E-2</v>
      </c>
      <c r="AC35" s="28">
        <v>4.0898833824665637E-2</v>
      </c>
      <c r="AG35" s="28">
        <v>0.16518430117189425</v>
      </c>
      <c r="AH35" s="28">
        <v>0.16518430117189425</v>
      </c>
      <c r="AI35" s="28">
        <v>0.16518430117189425</v>
      </c>
      <c r="AJ35" s="28">
        <v>0.16518430117189425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5.3488547569114416E-4</v>
      </c>
      <c r="AA38" s="28">
        <v>-2.0833411823579572E-2</v>
      </c>
      <c r="AB38" s="28">
        <v>5.1008936564984593E-3</v>
      </c>
      <c r="AC38" s="28">
        <v>-2.7977134168074472E-2</v>
      </c>
      <c r="AF38">
        <f t="array" ref="AF38:AI43">MMULT(TRANSPOSE(C4:H9),AG30:AJ35)</f>
        <v>-0.31150636853472347</v>
      </c>
      <c r="AG38">
        <v>-0.31150636853472347</v>
      </c>
      <c r="AH38">
        <v>-0.31150636853472347</v>
      </c>
      <c r="AI38">
        <v>-0.31150636853472347</v>
      </c>
      <c r="AK38" s="22">
        <f t="shared" ref="AK38:AN43" si="14">C27-0.02*AF38</f>
        <v>0.17261450158779171</v>
      </c>
      <c r="AL38" s="22">
        <f t="shared" si="14"/>
        <v>-0.88071471841220828</v>
      </c>
      <c r="AM38" s="22">
        <f t="shared" si="14"/>
        <v>0.16284734158779171</v>
      </c>
      <c r="AN38" s="22">
        <f t="shared" si="14"/>
        <v>-0.19173577841220829</v>
      </c>
    </row>
    <row r="39" spans="12:40" x14ac:dyDescent="0.3">
      <c r="Z39" s="28">
        <v>-4.0202651759329369E-3</v>
      </c>
      <c r="AA39" s="28">
        <v>4.9217478550621696E-2</v>
      </c>
      <c r="AB39" s="28">
        <v>-1.9220911644287707E-2</v>
      </c>
      <c r="AC39" s="28">
        <v>8.3173674485348598E-2</v>
      </c>
      <c r="AF39">
        <v>1.1021104054656325</v>
      </c>
      <c r="AG39">
        <v>1.1021104054656325</v>
      </c>
      <c r="AH39">
        <v>1.1021104054656325</v>
      </c>
      <c r="AI39">
        <v>1.1021104054656325</v>
      </c>
      <c r="AK39" s="22">
        <f t="shared" si="14"/>
        <v>-0.52195977991888398</v>
      </c>
      <c r="AL39" s="22">
        <f t="shared" si="14"/>
        <v>0.12233936008111604</v>
      </c>
      <c r="AM39" s="22">
        <f t="shared" si="14"/>
        <v>0.332000980081116</v>
      </c>
      <c r="AN39" s="22">
        <f t="shared" si="14"/>
        <v>0.28214128008111605</v>
      </c>
    </row>
    <row r="40" spans="12:40" x14ac:dyDescent="0.3">
      <c r="Z40" s="28">
        <v>6.6844551755910076E-4</v>
      </c>
      <c r="AA40" s="28">
        <v>-2.382863272698358E-2</v>
      </c>
      <c r="AB40" s="28">
        <v>6.224937007110503E-3</v>
      </c>
      <c r="AC40" s="28">
        <v>-3.2857773372193672E-2</v>
      </c>
      <c r="AF40">
        <v>-0.5479909004647372</v>
      </c>
      <c r="AG40">
        <v>-0.5479909004647372</v>
      </c>
      <c r="AH40">
        <v>-0.5479909004647372</v>
      </c>
      <c r="AI40">
        <v>-0.5479909004647372</v>
      </c>
      <c r="AK40" s="22">
        <f t="shared" si="14"/>
        <v>-0.47508253755894708</v>
      </c>
      <c r="AL40" s="22">
        <f t="shared" si="14"/>
        <v>-0.21007996755894709</v>
      </c>
      <c r="AM40" s="22">
        <f t="shared" si="14"/>
        <v>0.11015794244105294</v>
      </c>
      <c r="AN40" s="22">
        <f t="shared" si="14"/>
        <v>0.43229878244105296</v>
      </c>
    </row>
    <row r="41" spans="12:40" x14ac:dyDescent="0.3">
      <c r="Z41" s="28">
        <v>-3.9497736577453566E-3</v>
      </c>
      <c r="AA41" s="28">
        <v>4.9054569708521012E-2</v>
      </c>
      <c r="AB41" s="28">
        <v>-1.9129526570438076E-2</v>
      </c>
      <c r="AC41" s="28">
        <v>8.2762523411270467E-2</v>
      </c>
      <c r="AF41">
        <v>-0.21532120134395896</v>
      </c>
      <c r="AG41">
        <v>-0.21532120134395896</v>
      </c>
      <c r="AH41">
        <v>-0.21532120134395896</v>
      </c>
      <c r="AI41">
        <v>-0.21532120134395896</v>
      </c>
      <c r="AK41" s="22">
        <f t="shared" si="14"/>
        <v>-0.25027228842868404</v>
      </c>
      <c r="AL41" s="22">
        <f t="shared" si="14"/>
        <v>-0.10351465842868408</v>
      </c>
      <c r="AM41" s="22">
        <f t="shared" si="14"/>
        <v>-0.56385265842868404</v>
      </c>
      <c r="AN41" s="22">
        <f t="shared" si="14"/>
        <v>-0.60878847842868411</v>
      </c>
    </row>
    <row r="42" spans="12:40" x14ac:dyDescent="0.3">
      <c r="Z42" s="28">
        <v>6.5274468811252206E-4</v>
      </c>
      <c r="AA42" s="28">
        <v>-2.4490072171287163E-2</v>
      </c>
      <c r="AB42" s="28">
        <v>6.3917346348416155E-3</v>
      </c>
      <c r="AC42" s="28">
        <v>-3.3740427605398804E-2</v>
      </c>
      <c r="AF42">
        <v>-0.33877796923461512</v>
      </c>
      <c r="AG42">
        <v>-0.33877796923461512</v>
      </c>
      <c r="AH42">
        <v>-0.33877796923461512</v>
      </c>
      <c r="AI42">
        <v>-0.33877796923461512</v>
      </c>
      <c r="AK42" s="22">
        <f t="shared" si="14"/>
        <v>0.40753750174308701</v>
      </c>
      <c r="AL42" s="22">
        <f t="shared" si="14"/>
        <v>0.67939460174308697</v>
      </c>
      <c r="AM42" s="22">
        <f t="shared" si="14"/>
        <v>-3.4730468256913005E-2</v>
      </c>
      <c r="AN42" s="22">
        <f t="shared" si="14"/>
        <v>0.50304104174308695</v>
      </c>
    </row>
    <row r="43" spans="12:40" x14ac:dyDescent="0.3">
      <c r="Z43" s="28">
        <v>-3.4822103379882809E-3</v>
      </c>
      <c r="AA43" s="28">
        <v>4.8012691268067675E-2</v>
      </c>
      <c r="AB43" s="28">
        <v>-1.7982977807275573E-2</v>
      </c>
      <c r="AC43" s="28">
        <v>7.9149261325728512E-2</v>
      </c>
      <c r="AF43">
        <v>-0.33877796923461512</v>
      </c>
      <c r="AG43">
        <v>-0.33877796923461512</v>
      </c>
      <c r="AH43">
        <v>-0.33877796923461512</v>
      </c>
      <c r="AI43">
        <v>-0.33877796923461512</v>
      </c>
      <c r="AK43" s="22">
        <f t="shared" si="14"/>
        <v>0.18209260174308697</v>
      </c>
      <c r="AL43" s="22">
        <f t="shared" si="14"/>
        <v>-0.32128528825691299</v>
      </c>
      <c r="AM43" s="22">
        <f t="shared" si="14"/>
        <v>0.18197239174308696</v>
      </c>
      <c r="AN43" s="22">
        <f t="shared" si="14"/>
        <v>0.77029287174308703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1.652670608043025E-3</v>
      </c>
      <c r="AG48">
        <v>-6.3510406680516024E-2</v>
      </c>
      <c r="AH48">
        <v>1.6164372950062619E-2</v>
      </c>
      <c r="AI48">
        <v>-8.6595557168757761E-2</v>
      </c>
      <c r="AK48" s="22">
        <f t="shared" ref="AK48:AN53" si="15">C13-0.02*AF48</f>
        <v>0.24819405270696598</v>
      </c>
      <c r="AL48" s="22">
        <f t="shared" si="15"/>
        <v>-6.5032068444402763E-2</v>
      </c>
      <c r="AM48" s="22">
        <f t="shared" si="15"/>
        <v>0.32299428707259459</v>
      </c>
      <c r="AN48" s="22">
        <f t="shared" si="15"/>
        <v>0.76747648856744233</v>
      </c>
    </row>
    <row r="49" spans="27:40" x14ac:dyDescent="0.3">
      <c r="AF49">
        <v>-3.2033108513879881E-2</v>
      </c>
      <c r="AG49">
        <v>0.36866022341932753</v>
      </c>
      <c r="AH49">
        <v>-0.15013613400439099</v>
      </c>
      <c r="AI49">
        <v>0.63706778043583379</v>
      </c>
      <c r="AK49" s="22">
        <f t="shared" si="15"/>
        <v>-0.10395391701063988</v>
      </c>
      <c r="AL49" s="22">
        <f t="shared" si="15"/>
        <v>-0.16943004329592881</v>
      </c>
      <c r="AM49" s="22">
        <f t="shared" si="15"/>
        <v>0.8124675210512925</v>
      </c>
      <c r="AN49" s="22">
        <f t="shared" si="15"/>
        <v>0.25841525349342387</v>
      </c>
    </row>
    <row r="50" spans="27:40" x14ac:dyDescent="0.3">
      <c r="AF50">
        <v>-5.8840221275782735E-3</v>
      </c>
      <c r="AG50">
        <v>-6.1171610638340562E-2</v>
      </c>
      <c r="AH50">
        <v>-3.1807201266496228E-3</v>
      </c>
      <c r="AI50">
        <v>-3.8640546214653265E-2</v>
      </c>
      <c r="AK50" s="22">
        <f t="shared" si="15"/>
        <v>-0.23097415440588351</v>
      </c>
      <c r="AL50" s="22">
        <f t="shared" si="15"/>
        <v>0.26577221601034712</v>
      </c>
      <c r="AM50" s="22">
        <f t="shared" si="15"/>
        <v>-0.22673762522556162</v>
      </c>
      <c r="AN50" s="22">
        <f t="shared" si="15"/>
        <v>-0.25667953579580211</v>
      </c>
    </row>
    <row r="51" spans="27:40" x14ac:dyDescent="0.3">
      <c r="AF51">
        <v>-5.779621585544968E-4</v>
      </c>
      <c r="AG51">
        <v>-3.2734769837707844E-2</v>
      </c>
      <c r="AH51">
        <v>4.6738348500721472E-3</v>
      </c>
      <c r="AI51">
        <v>-3.5926821758860313E-2</v>
      </c>
      <c r="AK51" s="22">
        <f t="shared" si="15"/>
        <v>0.12167626337312833</v>
      </c>
      <c r="AL51" s="22">
        <f t="shared" si="15"/>
        <v>-0.95639949958790682</v>
      </c>
      <c r="AM51" s="22">
        <f t="shared" si="15"/>
        <v>-0.86174381037610592</v>
      </c>
      <c r="AN51" s="22">
        <f t="shared" si="15"/>
        <v>-0.28394213702653764</v>
      </c>
    </row>
    <row r="52" spans="27:40" x14ac:dyDescent="0.3">
      <c r="AF52">
        <v>1.856075681362767E-3</v>
      </c>
      <c r="AG52">
        <v>-6.9152116721850315E-2</v>
      </c>
      <c r="AH52">
        <v>1.7717565298450578E-2</v>
      </c>
      <c r="AI52">
        <v>-9.4575335145666947E-2</v>
      </c>
      <c r="AK52" s="22">
        <f t="shared" si="15"/>
        <v>-0.50662100685229783</v>
      </c>
      <c r="AL52" s="22">
        <f t="shared" si="15"/>
        <v>0.16166443637896286</v>
      </c>
      <c r="AM52" s="22">
        <f t="shared" si="15"/>
        <v>-0.45497811149751632</v>
      </c>
      <c r="AN52" s="22">
        <f t="shared" si="15"/>
        <v>-0.69944038571505951</v>
      </c>
    </row>
    <row r="53" spans="27:40" x14ac:dyDescent="0.3">
      <c r="AF53">
        <v>1.856075681362767E-3</v>
      </c>
      <c r="AG53">
        <v>-6.9152116721850315E-2</v>
      </c>
      <c r="AH53">
        <v>1.7717565298450578E-2</v>
      </c>
      <c r="AI53">
        <v>-9.4575335145666947E-2</v>
      </c>
      <c r="AK53" s="22">
        <f t="shared" si="15"/>
        <v>0.73261893314770221</v>
      </c>
      <c r="AL53" s="22">
        <f t="shared" si="15"/>
        <v>-0.10834738362103714</v>
      </c>
      <c r="AM53" s="22">
        <f t="shared" si="15"/>
        <v>3.2798028502483673E-2</v>
      </c>
      <c r="AN53" s="22">
        <f t="shared" si="15"/>
        <v>-0.70566262571505944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3.3441469663866498E-2</v>
      </c>
      <c r="AG56">
        <v>2.4778300041984364E-2</v>
      </c>
      <c r="AH56">
        <v>-0.18670141073006999</v>
      </c>
      <c r="AI56">
        <v>-8.871223127136979E-2</v>
      </c>
      <c r="AK56" s="22">
        <f t="shared" ref="AK56:AN61" si="16">C20-0.02*AF56</f>
        <v>-0.27804760044294669</v>
      </c>
      <c r="AL56" s="22">
        <f t="shared" si="16"/>
        <v>5.2224974366091012E-2</v>
      </c>
      <c r="AM56" s="22">
        <f t="shared" si="16"/>
        <v>-0.55030720849629766</v>
      </c>
      <c r="AN56" s="22">
        <f t="shared" si="16"/>
        <v>0.19977372799807544</v>
      </c>
    </row>
    <row r="57" spans="27:40" x14ac:dyDescent="0.3">
      <c r="AF57">
        <v>-9.6588024747578383E-2</v>
      </c>
      <c r="AG57">
        <v>-7.1990480104556553E-2</v>
      </c>
      <c r="AH57">
        <v>0.51739421024588328</v>
      </c>
      <c r="AI57">
        <v>0.23450739398649248</v>
      </c>
      <c r="AK57" s="22">
        <f t="shared" si="16"/>
        <v>-0.27985075089437084</v>
      </c>
      <c r="AL57" s="22">
        <f t="shared" si="16"/>
        <v>-0.13464607453006636</v>
      </c>
      <c r="AM57" s="22">
        <f t="shared" si="16"/>
        <v>-0.38490952878187584</v>
      </c>
      <c r="AN57" s="22">
        <f t="shared" si="16"/>
        <v>0.88758565647972409</v>
      </c>
    </row>
    <row r="58" spans="27:40" x14ac:dyDescent="0.3">
      <c r="AF58">
        <v>7.2514623477166237E-2</v>
      </c>
      <c r="AG58">
        <v>5.3593152881790632E-2</v>
      </c>
      <c r="AH58">
        <v>-0.40949930058074963</v>
      </c>
      <c r="AI58">
        <v>-0.19700578003909036</v>
      </c>
      <c r="AK58" s="22">
        <f t="shared" si="16"/>
        <v>-1.9345335844818307E-2</v>
      </c>
      <c r="AL58" s="22">
        <f t="shared" si="16"/>
        <v>-0.53581348253468652</v>
      </c>
      <c r="AM58" s="22">
        <f t="shared" si="16"/>
        <v>0.46572266826710268</v>
      </c>
      <c r="AN58" s="22">
        <f t="shared" si="16"/>
        <v>-0.58452340853752316</v>
      </c>
    </row>
    <row r="59" spans="27:40" x14ac:dyDescent="0.3">
      <c r="AF59">
        <v>2.6258147358149166E-2</v>
      </c>
      <c r="AG59">
        <v>1.9170966660478857E-2</v>
      </c>
      <c r="AH59">
        <v>-0.15587560532040451</v>
      </c>
      <c r="AI59">
        <v>-7.8916878049035799E-2</v>
      </c>
      <c r="AK59" s="22">
        <f t="shared" si="16"/>
        <v>0.1002780540914382</v>
      </c>
      <c r="AL59" s="22">
        <f t="shared" si="16"/>
        <v>-0.98212919131716059</v>
      </c>
      <c r="AM59" s="22">
        <f t="shared" si="16"/>
        <v>-0.64555730719371252</v>
      </c>
      <c r="AN59" s="22">
        <f t="shared" si="16"/>
        <v>0.10747547813108152</v>
      </c>
    </row>
    <row r="60" spans="27:40" x14ac:dyDescent="0.3">
      <c r="AF60">
        <v>3.6257311738583126E-2</v>
      </c>
      <c r="AG60">
        <v>2.6796576440895316E-2</v>
      </c>
      <c r="AH60">
        <v>-0.20474965029037484</v>
      </c>
      <c r="AI60">
        <v>-9.8502890019545181E-2</v>
      </c>
      <c r="AK60" s="22">
        <f t="shared" si="16"/>
        <v>0.36293492707759084</v>
      </c>
      <c r="AL60" s="22">
        <f t="shared" si="16"/>
        <v>8.2205128732656799E-2</v>
      </c>
      <c r="AM60" s="22">
        <f t="shared" si="16"/>
        <v>-3.059903586644868E-2</v>
      </c>
      <c r="AN60" s="22">
        <f t="shared" si="16"/>
        <v>-0.13760264426876156</v>
      </c>
    </row>
    <row r="61" spans="27:40" x14ac:dyDescent="0.3">
      <c r="AF61">
        <v>3.6257311738583126E-2</v>
      </c>
      <c r="AG61">
        <v>2.6796576440895316E-2</v>
      </c>
      <c r="AH61">
        <v>-0.20474965029037484</v>
      </c>
      <c r="AI61">
        <v>-9.8502890019545181E-2</v>
      </c>
      <c r="AK61" s="22">
        <f t="shared" si="16"/>
        <v>-0.74555936292240921</v>
      </c>
      <c r="AL61" s="22">
        <f t="shared" si="16"/>
        <v>-0.36340111126734326</v>
      </c>
      <c r="AM61" s="22">
        <f t="shared" si="16"/>
        <v>-0.2030942858664487</v>
      </c>
      <c r="AN61" s="22">
        <f t="shared" si="16"/>
        <v>0.54151031573123853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C61C-9CF9-457F-8B68-5EE0BB1861DC}">
  <dimension ref="B3:AT61"/>
  <sheetViews>
    <sheetView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1.7627525697943205</v>
      </c>
      <c r="S6" s="18">
        <v>-2.037619264404714</v>
      </c>
      <c r="T6" s="18">
        <v>1.7280985071765729</v>
      </c>
      <c r="U6" s="18">
        <v>-1.0353629885484976</v>
      </c>
      <c r="V6" s="18">
        <v>1.6462057541515851</v>
      </c>
      <c r="W6" s="18">
        <v>-2.8284453317312166</v>
      </c>
      <c r="X6" s="18"/>
      <c r="Z6">
        <f t="array" ref="Z6:AC11">MMULT(R29:W34,M27:P32)</f>
        <v>-1.4971225705313338</v>
      </c>
      <c r="AA6">
        <v>-0.89350609709779649</v>
      </c>
      <c r="AB6">
        <v>0.51780524146132001</v>
      </c>
      <c r="AC6">
        <v>1.9731872435794346</v>
      </c>
      <c r="AE6" s="25">
        <f>1/(1+EXP(-SUM(Z6:AC6)))</f>
        <v>0.52506991399889313</v>
      </c>
      <c r="AG6" s="25">
        <f t="shared" ref="AG6:AG11" si="0">AE6-J4</f>
        <v>-0.47493008600110687</v>
      </c>
      <c r="AI6" s="25">
        <f>-J4*LN(AE6)-(1-J4)*LN(1-AE6)</f>
        <v>0.64422385573508567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0.66088149876989744</v>
      </c>
      <c r="S7" s="18">
        <v>0.22594382990414952</v>
      </c>
      <c r="T7" s="18">
        <v>0.61539590156655</v>
      </c>
      <c r="U7" s="18">
        <v>0.29797010325265449</v>
      </c>
      <c r="V7" s="18">
        <v>0.76923720602612156</v>
      </c>
      <c r="W7" s="18">
        <v>-0.16309435311745379</v>
      </c>
      <c r="X7" s="18"/>
      <c r="Z7">
        <v>-1.6925286751958906</v>
      </c>
      <c r="AA7">
        <v>-0.55120720264253142</v>
      </c>
      <c r="AB7">
        <v>0.67836921067644051</v>
      </c>
      <c r="AC7">
        <v>1.7007068693330221</v>
      </c>
      <c r="AE7" s="25">
        <f t="shared" ref="AE7:AE11" si="1">1/(1+EXP(-SUM(Z7:AC7)))</f>
        <v>0.53378349866672881</v>
      </c>
      <c r="AG7" s="25">
        <f t="shared" si="0"/>
        <v>0.53378349866672881</v>
      </c>
      <c r="AI7" s="25">
        <f t="shared" ref="AI7:AI11" si="2">-J5*LN(AE7)-(1-J5)*LN(1-AE7)</f>
        <v>0.76310515761162045</v>
      </c>
      <c r="AM7" s="26">
        <f t="array" ref="AM7:AR12">MMULT(Z15:AC20,TRANSPOSE(M27:P32))</f>
        <v>-3.9349027129301772E-3</v>
      </c>
      <c r="AN7" s="26">
        <v>-0.16352675194975586</v>
      </c>
      <c r="AO7" s="26">
        <v>-2.0871194242277014E-2</v>
      </c>
      <c r="AP7" s="26">
        <v>1.4554677603836774E-2</v>
      </c>
      <c r="AQ7" s="26">
        <v>-0.11188531320891382</v>
      </c>
      <c r="AR7" s="26">
        <v>-0.12227224949547266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1.4134600027275717</v>
      </c>
      <c r="S8" s="18">
        <v>-1.9393209152805495</v>
      </c>
      <c r="T8" s="18">
        <v>1.3864336706094569</v>
      </c>
      <c r="U8" s="18">
        <v>-1.014263596210238</v>
      </c>
      <c r="V8" s="18">
        <v>1.3224843833397057</v>
      </c>
      <c r="W8" s="18">
        <v>-2.6992995150265435</v>
      </c>
      <c r="X8" s="18"/>
      <c r="Z8">
        <v>-1.5123870818839551</v>
      </c>
      <c r="AA8">
        <v>-0.86204748929742425</v>
      </c>
      <c r="AB8">
        <v>0.53117324788604547</v>
      </c>
      <c r="AC8">
        <v>1.9459536137105251</v>
      </c>
      <c r="AE8" s="25">
        <f t="shared" si="1"/>
        <v>0.52565053464729117</v>
      </c>
      <c r="AG8" s="25">
        <f t="shared" si="0"/>
        <v>-0.47434946535270883</v>
      </c>
      <c r="AI8" s="25">
        <f t="shared" si="2"/>
        <v>0.64311866984430877</v>
      </c>
      <c r="AM8" s="26">
        <v>4.4225164901769976E-3</v>
      </c>
      <c r="AN8" s="26">
        <v>0.18379101336010872</v>
      </c>
      <c r="AO8" s="26">
        <v>2.3457555990608503E-2</v>
      </c>
      <c r="AP8" s="26">
        <v>-1.6358295594110173E-2</v>
      </c>
      <c r="AQ8" s="26">
        <v>0.12575015922225163</v>
      </c>
      <c r="AR8" s="26">
        <v>0.13742424632452621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/>
      <c r="M9" s="18">
        <f t="array" ref="M9:P14">MMULT(C4:H9,C13:F18)</f>
        <v>-0.24040397983896844</v>
      </c>
      <c r="N9" s="18">
        <v>-0.32990537031509121</v>
      </c>
      <c r="O9" s="18">
        <v>-0.87994384411096938</v>
      </c>
      <c r="P9" s="18">
        <v>-1.5550135568135071</v>
      </c>
      <c r="Q9" s="18"/>
      <c r="R9" s="18">
        <v>0.69032796484133696</v>
      </c>
      <c r="S9" s="18">
        <v>0.14385504195680165</v>
      </c>
      <c r="T9" s="18">
        <v>0.66076045466658606</v>
      </c>
      <c r="U9" s="18">
        <v>0.21485807605047014</v>
      </c>
      <c r="V9" s="18">
        <v>0.74421859299783266</v>
      </c>
      <c r="W9" s="18">
        <v>-9.5578811963757837E-2</v>
      </c>
      <c r="X9" s="18"/>
      <c r="Z9">
        <v>-1.6940160025031061</v>
      </c>
      <c r="AA9">
        <v>-0.55790560424525149</v>
      </c>
      <c r="AB9">
        <v>0.67740622284266405</v>
      </c>
      <c r="AC9">
        <v>1.7091784580141822</v>
      </c>
      <c r="AE9" s="25">
        <f t="shared" si="1"/>
        <v>0.53361498562570486</v>
      </c>
      <c r="AG9" s="25">
        <f t="shared" si="0"/>
        <v>0.53361498562570486</v>
      </c>
      <c r="AI9" s="25">
        <f t="shared" si="2"/>
        <v>0.76274377487736644</v>
      </c>
      <c r="AM9" s="26">
        <v>-3.9300921401071998E-3</v>
      </c>
      <c r="AN9" s="26">
        <v>-0.1633268340849035</v>
      </c>
      <c r="AO9" s="26">
        <v>-2.0845678389120992E-2</v>
      </c>
      <c r="AP9" s="26">
        <v>1.4536883939891998E-2</v>
      </c>
      <c r="AQ9" s="26">
        <v>-0.11174852902737553</v>
      </c>
      <c r="AR9" s="26">
        <v>-0.12212276687713408</v>
      </c>
    </row>
    <row r="10" spans="2:46" x14ac:dyDescent="0.3">
      <c r="L10" s="18"/>
      <c r="M10" s="18">
        <v>-0.5293550843676178</v>
      </c>
      <c r="N10" s="18">
        <v>-0.33850194851036941</v>
      </c>
      <c r="O10" s="18">
        <v>2.1261995196636065</v>
      </c>
      <c r="P10" s="18">
        <v>0.49423272908282617</v>
      </c>
      <c r="Q10" s="18"/>
      <c r="R10" s="18">
        <v>1.1211278259651967</v>
      </c>
      <c r="S10" s="18">
        <v>-2.0984089761017715</v>
      </c>
      <c r="T10" s="18">
        <v>1.1041933689508292</v>
      </c>
      <c r="U10" s="18">
        <v>-1.1445342042288837</v>
      </c>
      <c r="V10" s="18">
        <v>1.0563145095224411</v>
      </c>
      <c r="W10" s="18">
        <v>-2.9310818614396599</v>
      </c>
      <c r="X10" s="18"/>
      <c r="Z10">
        <v>-1.5154046816134461</v>
      </c>
      <c r="AA10">
        <v>-0.85235264787389775</v>
      </c>
      <c r="AB10">
        <v>0.53459488334513861</v>
      </c>
      <c r="AC10">
        <v>1.9363411755294249</v>
      </c>
      <c r="AE10" s="25">
        <f t="shared" si="1"/>
        <v>0.52577182282205681</v>
      </c>
      <c r="AG10" s="25">
        <f t="shared" si="0"/>
        <v>-0.47422817717794319</v>
      </c>
      <c r="AI10" s="25">
        <f t="shared" si="2"/>
        <v>0.64288795727777071</v>
      </c>
      <c r="AM10" s="26">
        <v>4.4211203216844019E-3</v>
      </c>
      <c r="AN10" s="26">
        <v>0.18373299136682575</v>
      </c>
      <c r="AO10" s="26">
        <v>2.3450150546070248E-2</v>
      </c>
      <c r="AP10" s="26">
        <v>-1.6353131354032657E-2</v>
      </c>
      <c r="AQ10" s="26">
        <v>0.12571046046462286</v>
      </c>
      <c r="AR10" s="26">
        <v>0.13738086211029632</v>
      </c>
    </row>
    <row r="11" spans="2:46" x14ac:dyDescent="0.3">
      <c r="L11" s="18"/>
      <c r="M11" s="18">
        <v>-0.21317576419010453</v>
      </c>
      <c r="N11" s="18">
        <v>-0.24458796058048066</v>
      </c>
      <c r="O11" s="18">
        <v>-0.74250057988632567</v>
      </c>
      <c r="P11" s="18">
        <v>-1.404797800080543</v>
      </c>
      <c r="Q11" s="18"/>
      <c r="R11" s="18">
        <v>1.5497278459562533</v>
      </c>
      <c r="S11" s="18">
        <v>0.59869165310475814</v>
      </c>
      <c r="T11" s="18">
        <v>1.4598350412510512</v>
      </c>
      <c r="U11" s="18">
        <v>0.66215070425202005</v>
      </c>
      <c r="V11" s="18">
        <v>1.6344902758272997</v>
      </c>
      <c r="W11" s="18">
        <v>0.20306422670780311</v>
      </c>
      <c r="X11" s="18"/>
      <c r="Z11">
        <v>-1.655200234194369</v>
      </c>
      <c r="AA11">
        <v>-0.62161166516052968</v>
      </c>
      <c r="AB11">
        <v>0.64721303999736701</v>
      </c>
      <c r="AC11">
        <v>1.7598733498039438</v>
      </c>
      <c r="AE11" s="25">
        <f t="shared" si="1"/>
        <v>0.53252263927390908</v>
      </c>
      <c r="AG11" s="25">
        <f t="shared" si="0"/>
        <v>0.53252263927390908</v>
      </c>
      <c r="AI11" s="25">
        <f t="shared" si="2"/>
        <v>0.76040435768033521</v>
      </c>
      <c r="AM11" s="26">
        <v>-3.9290872402660826E-3</v>
      </c>
      <c r="AN11" s="26">
        <v>-0.16328507244070795</v>
      </c>
      <c r="AO11" s="26">
        <v>-2.0840348280270482E-2</v>
      </c>
      <c r="AP11" s="26">
        <v>1.4533166950101539E-2</v>
      </c>
      <c r="AQ11" s="26">
        <v>-0.11171995563137005</v>
      </c>
      <c r="AR11" s="26">
        <v>-0.12209154085376162</v>
      </c>
    </row>
    <row r="12" spans="2:46" x14ac:dyDescent="0.3">
      <c r="B12" t="s">
        <v>2</v>
      </c>
      <c r="L12" s="18"/>
      <c r="M12" s="18">
        <v>-0.41060715155391991</v>
      </c>
      <c r="N12" s="18">
        <v>-0.2654000245215099</v>
      </c>
      <c r="O12" s="18">
        <v>1.2309755431205054</v>
      </c>
      <c r="P12" s="18">
        <v>0.21554469808876914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0.70274729550441462</v>
      </c>
      <c r="AM12" s="26">
        <v>4.4120699861720514E-3</v>
      </c>
      <c r="AN12" s="26">
        <v>0.18335687737409612</v>
      </c>
      <c r="AO12" s="26">
        <v>2.340214648492478E-2</v>
      </c>
      <c r="AP12" s="26">
        <v>-1.6319655376302977E-2</v>
      </c>
      <c r="AQ12" s="26">
        <v>0.12545312255888508</v>
      </c>
      <c r="AR12" s="26">
        <v>0.13709963409463866</v>
      </c>
    </row>
    <row r="13" spans="2:46" x14ac:dyDescent="0.3">
      <c r="C13" s="22">
        <f>'Third Iteration'!AK48</f>
        <v>0.24819405270696598</v>
      </c>
      <c r="D13" s="22">
        <f>'Third Iteration'!AL48</f>
        <v>-6.5032068444402763E-2</v>
      </c>
      <c r="E13" s="22">
        <f>'Third Iteration'!AM48</f>
        <v>0.32299428707259459</v>
      </c>
      <c r="F13" s="22">
        <f>'Third Iteration'!AN48</f>
        <v>0.76747648856744233</v>
      </c>
      <c r="L13" s="18"/>
      <c r="M13" s="18">
        <v>-0.23847533785614294</v>
      </c>
      <c r="N13" s="18">
        <v>-0.14550716388029666</v>
      </c>
      <c r="O13" s="18">
        <v>-0.67341582657772625</v>
      </c>
      <c r="P13" s="18">
        <v>-1.4170107673879926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'Third Iteration'!AK49</f>
        <v>-0.10395391701063988</v>
      </c>
      <c r="D14" s="22">
        <f>'Third Iteration'!AL49</f>
        <v>-0.16943004329592881</v>
      </c>
      <c r="E14" s="22">
        <f>'Third Iteration'!AM49</f>
        <v>0.8124675210512925</v>
      </c>
      <c r="F14" s="22">
        <f>'Third Iteration'!AN49</f>
        <v>0.25841525349342387</v>
      </c>
      <c r="L14" s="18"/>
      <c r="M14" s="18">
        <v>-0.61028694343650458</v>
      </c>
      <c r="N14" s="18">
        <v>-0.69886780704974016</v>
      </c>
      <c r="O14" s="18">
        <v>2.7646093158667768</v>
      </c>
      <c r="P14" s="18">
        <v>0.69179883706993217</v>
      </c>
      <c r="Q14" s="18"/>
      <c r="R14" s="23">
        <f>R6/SQRT(4)</f>
        <v>0.88137628489716024</v>
      </c>
      <c r="S14" s="23">
        <f t="shared" ref="S14:W19" si="3">S6/SQRT(4)</f>
        <v>-1.018809632202357</v>
      </c>
      <c r="T14" s="23">
        <f t="shared" si="3"/>
        <v>0.86404925358828644</v>
      </c>
      <c r="U14" s="23">
        <f t="shared" si="3"/>
        <v>-0.51768149427424881</v>
      </c>
      <c r="V14" s="23">
        <f t="shared" si="3"/>
        <v>0.82310287707579255</v>
      </c>
      <c r="W14" s="23">
        <f t="shared" si="3"/>
        <v>-1.4142226658656083</v>
      </c>
      <c r="X14" s="18"/>
      <c r="Z14" s="1" t="s">
        <v>83</v>
      </c>
    </row>
    <row r="15" spans="2:46" x14ac:dyDescent="0.3">
      <c r="C15" s="22">
        <f>'Third Iteration'!AK50</f>
        <v>-0.23097415440588351</v>
      </c>
      <c r="D15" s="22">
        <f>'Third Iteration'!AL50</f>
        <v>0.26577221601034712</v>
      </c>
      <c r="E15" s="22">
        <f>'Third Iteration'!AM50</f>
        <v>-0.22673762522556162</v>
      </c>
      <c r="F15" s="22">
        <f>'Third Iteration'!AN50</f>
        <v>-0.25667953579580211</v>
      </c>
      <c r="L15" s="18"/>
      <c r="M15" s="18"/>
      <c r="N15" s="18"/>
      <c r="O15" s="18"/>
      <c r="P15" s="18"/>
      <c r="Q15" s="18"/>
      <c r="R15" s="23">
        <f t="shared" ref="R15:V19" si="4">R7/SQRT(4)</f>
        <v>0.33044074938494872</v>
      </c>
      <c r="S15" s="23">
        <f t="shared" si="4"/>
        <v>0.11297191495207476</v>
      </c>
      <c r="T15" s="23">
        <f t="shared" si="4"/>
        <v>0.307697950783275</v>
      </c>
      <c r="U15" s="23">
        <f t="shared" si="4"/>
        <v>0.14898505162632725</v>
      </c>
      <c r="V15" s="23">
        <f t="shared" si="4"/>
        <v>0.38461860301306078</v>
      </c>
      <c r="W15" s="23">
        <f t="shared" si="3"/>
        <v>-8.1547176558726897E-2</v>
      </c>
      <c r="X15" s="18"/>
      <c r="Z15" s="26">
        <f t="shared" ref="Z15:Z20" si="5">AG6</f>
        <v>-0.47493008600110687</v>
      </c>
      <c r="AA15" s="26">
        <f>Z15</f>
        <v>-0.47493008600110687</v>
      </c>
      <c r="AB15" s="26">
        <f>AA15</f>
        <v>-0.47493008600110687</v>
      </c>
      <c r="AC15" s="26">
        <f>AB15</f>
        <v>-0.47493008600110687</v>
      </c>
      <c r="AF15">
        <f t="shared" ref="AF15:AK20" si="6">R29*AM7</f>
        <v>-1.1494521028549076E-3</v>
      </c>
      <c r="AG15">
        <f t="shared" si="6"/>
        <v>-7.1434076103137484E-3</v>
      </c>
      <c r="AH15">
        <f t="shared" si="6"/>
        <v>-5.992101285736769E-3</v>
      </c>
      <c r="AI15">
        <f t="shared" si="6"/>
        <v>1.0494370589732497E-3</v>
      </c>
      <c r="AJ15">
        <f t="shared" si="6"/>
        <v>-3.0833451495783936E-2</v>
      </c>
      <c r="AK15">
        <f t="shared" si="6"/>
        <v>-3.5968209989859631E-3</v>
      </c>
      <c r="AM15">
        <f>SUM(AF15:AK15)</f>
        <v>-4.7665796434702076E-2</v>
      </c>
      <c r="AO15">
        <f t="shared" ref="AO15:AT20" si="7">AM7-$AM15</f>
        <v>4.3730893721771899E-2</v>
      </c>
      <c r="AP15">
        <f t="shared" si="7"/>
        <v>-0.11586095551505378</v>
      </c>
      <c r="AQ15">
        <f t="shared" si="7"/>
        <v>2.6794602192425063E-2</v>
      </c>
      <c r="AR15">
        <f t="shared" si="7"/>
        <v>6.2220474038538851E-2</v>
      </c>
      <c r="AS15">
        <f t="shared" si="7"/>
        <v>-6.4219516774211741E-2</v>
      </c>
      <c r="AT15">
        <f t="shared" si="7"/>
        <v>-7.4606453060770586E-2</v>
      </c>
    </row>
    <row r="16" spans="2:46" x14ac:dyDescent="0.3">
      <c r="C16" s="22">
        <f>'Third Iteration'!AK51</f>
        <v>0.12167626337312833</v>
      </c>
      <c r="D16" s="22">
        <f>'Third Iteration'!AL51</f>
        <v>-0.95639949958790682</v>
      </c>
      <c r="E16" s="22">
        <f>'Third Iteration'!AM51</f>
        <v>-0.86174381037610592</v>
      </c>
      <c r="F16" s="22">
        <f>'Third Iteration'!AN51</f>
        <v>-0.28394213702653764</v>
      </c>
      <c r="L16" s="19" t="s">
        <v>3</v>
      </c>
      <c r="M16" s="20"/>
      <c r="N16" s="18"/>
      <c r="O16" s="18"/>
      <c r="P16" s="18"/>
      <c r="Q16" s="18"/>
      <c r="R16" s="23">
        <f t="shared" si="4"/>
        <v>0.70673000136378583</v>
      </c>
      <c r="S16" s="23">
        <f t="shared" si="4"/>
        <v>-0.96966045764027475</v>
      </c>
      <c r="T16" s="23">
        <f t="shared" si="4"/>
        <v>0.69321683530472844</v>
      </c>
      <c r="U16" s="23">
        <f t="shared" si="4"/>
        <v>-0.50713179810511899</v>
      </c>
      <c r="V16" s="23">
        <f t="shared" si="4"/>
        <v>0.66124219166985287</v>
      </c>
      <c r="W16" s="23">
        <f t="shared" si="3"/>
        <v>-1.3496497575132718</v>
      </c>
      <c r="X16" s="18"/>
      <c r="Z16" s="26">
        <f t="shared" si="5"/>
        <v>0.53378349866672881</v>
      </c>
      <c r="AA16" s="26">
        <f t="shared" ref="AA16:AC20" si="8">Z16</f>
        <v>0.53378349866672881</v>
      </c>
      <c r="AB16" s="26">
        <f t="shared" si="8"/>
        <v>0.53378349866672881</v>
      </c>
      <c r="AC16" s="26">
        <f t="shared" si="8"/>
        <v>0.53378349866672881</v>
      </c>
      <c r="AF16">
        <f t="shared" si="6"/>
        <v>8.2909856165170953E-4</v>
      </c>
      <c r="AG16">
        <f t="shared" si="6"/>
        <v>2.7721419077309451E-2</v>
      </c>
      <c r="AH16">
        <f t="shared" si="6"/>
        <v>4.2987519957876849E-3</v>
      </c>
      <c r="AI16">
        <f t="shared" si="6"/>
        <v>-2.557817439766638E-3</v>
      </c>
      <c r="AJ16">
        <f t="shared" si="6"/>
        <v>2.488710541082708E-2</v>
      </c>
      <c r="AK16">
        <f t="shared" si="6"/>
        <v>1.7063809019311125E-2</v>
      </c>
      <c r="AM16">
        <f>SUM(AF16:AK16)</f>
        <v>7.2242366625120416E-2</v>
      </c>
      <c r="AO16">
        <f t="shared" si="7"/>
        <v>-6.7819850134943419E-2</v>
      </c>
      <c r="AP16">
        <f t="shared" si="7"/>
        <v>0.11154864673498831</v>
      </c>
      <c r="AQ16">
        <f t="shared" si="7"/>
        <v>-4.8784810634511913E-2</v>
      </c>
      <c r="AR16">
        <f t="shared" si="7"/>
        <v>-8.8600662219230589E-2</v>
      </c>
      <c r="AS16">
        <f t="shared" si="7"/>
        <v>5.3507792597131218E-2</v>
      </c>
      <c r="AT16">
        <f t="shared" si="7"/>
        <v>6.5181879699405795E-2</v>
      </c>
    </row>
    <row r="17" spans="2:46" x14ac:dyDescent="0.3">
      <c r="C17" s="22">
        <f>'Third Iteration'!AK52</f>
        <v>-0.50662100685229783</v>
      </c>
      <c r="D17" s="22">
        <f>'Third Iteration'!AL52</f>
        <v>0.16166443637896286</v>
      </c>
      <c r="E17" s="22">
        <f>'Third Iteration'!AM52</f>
        <v>-0.45497811149751632</v>
      </c>
      <c r="F17" s="22">
        <f>'Third Iteration'!AN52</f>
        <v>-0.69944038571505951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si="4"/>
        <v>0.34516398242066848</v>
      </c>
      <c r="S17" s="23">
        <f t="shared" si="4"/>
        <v>7.1927520978400827E-2</v>
      </c>
      <c r="T17" s="23">
        <f t="shared" si="4"/>
        <v>0.33038022733329303</v>
      </c>
      <c r="U17" s="23">
        <f t="shared" si="4"/>
        <v>0.10742903802523507</v>
      </c>
      <c r="V17" s="23">
        <f t="shared" si="4"/>
        <v>0.37210929649891633</v>
      </c>
      <c r="W17" s="23">
        <f t="shared" si="3"/>
        <v>-4.7789405981878919E-2</v>
      </c>
      <c r="X17" s="18"/>
      <c r="Z17" s="26">
        <f t="shared" si="5"/>
        <v>-0.47434946535270883</v>
      </c>
      <c r="AA17" s="26">
        <f t="shared" si="8"/>
        <v>-0.47434946535270883</v>
      </c>
      <c r="AB17" s="26">
        <f t="shared" si="8"/>
        <v>-0.47434946535270883</v>
      </c>
      <c r="AC17" s="26">
        <f t="shared" si="8"/>
        <v>-0.47434946535270883</v>
      </c>
      <c r="AF17">
        <f t="shared" si="6"/>
        <v>-1.1057845527167218E-3</v>
      </c>
      <c r="AG17">
        <f t="shared" si="6"/>
        <v>-8.5956397243750291E-3</v>
      </c>
      <c r="AH17">
        <f t="shared" si="6"/>
        <v>-5.7864889215284562E-3</v>
      </c>
      <c r="AI17">
        <f t="shared" si="6"/>
        <v>1.2149702060714703E-3</v>
      </c>
      <c r="AJ17">
        <f t="shared" si="6"/>
        <v>-3.0043774712693209E-2</v>
      </c>
      <c r="AK17">
        <f t="shared" si="6"/>
        <v>-4.3953153490492074E-3</v>
      </c>
      <c r="AM17">
        <f t="shared" ref="AM17:AM20" si="9">SUM(AF17:AK17)</f>
        <v>-4.8712033054291157E-2</v>
      </c>
      <c r="AO17">
        <f t="shared" si="7"/>
        <v>4.4781940914183957E-2</v>
      </c>
      <c r="AP17">
        <f t="shared" si="7"/>
        <v>-0.11461480103061235</v>
      </c>
      <c r="AQ17">
        <f t="shared" si="7"/>
        <v>2.7866354665170165E-2</v>
      </c>
      <c r="AR17">
        <f t="shared" si="7"/>
        <v>6.3248916994183155E-2</v>
      </c>
      <c r="AS17">
        <f t="shared" si="7"/>
        <v>-6.3036495973084375E-2</v>
      </c>
      <c r="AT17">
        <f t="shared" si="7"/>
        <v>-7.3410733822842925E-2</v>
      </c>
    </row>
    <row r="18" spans="2:46" x14ac:dyDescent="0.3">
      <c r="C18" s="22">
        <f>'Third Iteration'!AK53</f>
        <v>0.73261893314770221</v>
      </c>
      <c r="D18" s="22">
        <f>'Third Iteration'!AL53</f>
        <v>-0.10834738362103714</v>
      </c>
      <c r="E18" s="22">
        <f>'Third Iteration'!AM53</f>
        <v>3.2798028502483673E-2</v>
      </c>
      <c r="F18" s="22">
        <f>'Third Iteration'!AN53</f>
        <v>-0.70566262571505944</v>
      </c>
      <c r="L18" s="18"/>
      <c r="M18" s="18">
        <f t="array" ref="M18:P23">MMULT(C4:H9,C20:F25)</f>
        <v>-0.85414624500684377</v>
      </c>
      <c r="N18" s="18">
        <v>-2.9614763918010119</v>
      </c>
      <c r="O18" s="18">
        <v>-0.32994909819885809</v>
      </c>
      <c r="P18" s="18">
        <v>-0.18653777538634586</v>
      </c>
      <c r="Q18" s="18"/>
      <c r="R18" s="23">
        <f t="shared" si="4"/>
        <v>0.56056391298259833</v>
      </c>
      <c r="S18" s="23">
        <f t="shared" si="4"/>
        <v>-1.0492044880508857</v>
      </c>
      <c r="T18" s="23">
        <f t="shared" si="4"/>
        <v>0.5520966844754146</v>
      </c>
      <c r="U18" s="23">
        <f t="shared" si="4"/>
        <v>-0.57226710211444187</v>
      </c>
      <c r="V18" s="23">
        <f t="shared" si="4"/>
        <v>0.52815725476122055</v>
      </c>
      <c r="W18" s="23">
        <f t="shared" si="3"/>
        <v>-1.4655409307198299</v>
      </c>
      <c r="X18" s="18"/>
      <c r="Z18" s="26">
        <f t="shared" si="5"/>
        <v>0.53361498562570486</v>
      </c>
      <c r="AA18" s="26">
        <f t="shared" si="8"/>
        <v>0.53361498562570486</v>
      </c>
      <c r="AB18" s="26">
        <f t="shared" si="8"/>
        <v>0.53361498562570486</v>
      </c>
      <c r="AC18" s="26">
        <f t="shared" si="8"/>
        <v>0.53361498562570486</v>
      </c>
      <c r="AF18">
        <f t="shared" si="6"/>
        <v>8.4420514443890268E-4</v>
      </c>
      <c r="AG18">
        <f t="shared" si="6"/>
        <v>2.6695479025189685E-2</v>
      </c>
      <c r="AH18">
        <f t="shared" si="6"/>
        <v>4.4120537211111491E-3</v>
      </c>
      <c r="AI18">
        <f t="shared" si="6"/>
        <v>-2.4618954774322027E-3</v>
      </c>
      <c r="AJ18">
        <f t="shared" si="6"/>
        <v>2.465978457037421E-2</v>
      </c>
      <c r="AK18">
        <f t="shared" si="6"/>
        <v>1.7708607371032539E-2</v>
      </c>
      <c r="AM18">
        <f t="shared" si="9"/>
        <v>7.1858234354714279E-2</v>
      </c>
      <c r="AO18">
        <f t="shared" si="7"/>
        <v>-6.7437114033029877E-2</v>
      </c>
      <c r="AP18">
        <f t="shared" si="7"/>
        <v>0.11187475701211147</v>
      </c>
      <c r="AQ18">
        <f t="shared" si="7"/>
        <v>-4.8408083808644031E-2</v>
      </c>
      <c r="AR18">
        <f t="shared" si="7"/>
        <v>-8.8211365708746936E-2</v>
      </c>
      <c r="AS18">
        <f t="shared" si="7"/>
        <v>5.3852226109908585E-2</v>
      </c>
      <c r="AT18">
        <f t="shared" si="7"/>
        <v>6.5522627755582041E-2</v>
      </c>
    </row>
    <row r="19" spans="2:46" x14ac:dyDescent="0.3">
      <c r="B19" t="s">
        <v>8</v>
      </c>
      <c r="C19" t="s">
        <v>9</v>
      </c>
      <c r="L19" s="18"/>
      <c r="M19" s="18">
        <v>-0.85034093297273061</v>
      </c>
      <c r="N19" s="18">
        <v>-1.0376883029172306</v>
      </c>
      <c r="O19" s="18">
        <v>-0.75647332423805003</v>
      </c>
      <c r="P19" s="18">
        <v>2.0900381115095952</v>
      </c>
      <c r="Q19" s="18"/>
      <c r="R19" s="23">
        <f t="shared" si="4"/>
        <v>0.77486392297812667</v>
      </c>
      <c r="S19" s="23">
        <f t="shared" si="4"/>
        <v>0.29934582655237907</v>
      </c>
      <c r="T19" s="23">
        <f t="shared" si="4"/>
        <v>0.72991752062552562</v>
      </c>
      <c r="U19" s="23">
        <f t="shared" si="4"/>
        <v>0.33107535212601003</v>
      </c>
      <c r="V19" s="23">
        <f t="shared" si="4"/>
        <v>0.81724513791364983</v>
      </c>
      <c r="W19" s="23">
        <f t="shared" si="3"/>
        <v>0.10153211335390155</v>
      </c>
      <c r="X19" s="18"/>
      <c r="Z19" s="26">
        <f t="shared" si="5"/>
        <v>-0.47422817717794319</v>
      </c>
      <c r="AA19" s="26">
        <f t="shared" si="8"/>
        <v>-0.47422817717794319</v>
      </c>
      <c r="AB19" s="26">
        <f t="shared" si="8"/>
        <v>-0.47422817717794319</v>
      </c>
      <c r="AC19" s="26">
        <f t="shared" si="8"/>
        <v>-0.47422817717794319</v>
      </c>
      <c r="AF19">
        <f t="shared" si="6"/>
        <v>-1.0873105273602655E-3</v>
      </c>
      <c r="AG19">
        <f t="shared" si="6"/>
        <v>-9.0343075426721417E-3</v>
      </c>
      <c r="AH19">
        <f t="shared" si="6"/>
        <v>-5.7185987231500946E-3</v>
      </c>
      <c r="AI19">
        <f t="shared" si="6"/>
        <v>1.2955074798274519E-3</v>
      </c>
      <c r="AJ19">
        <f t="shared" si="6"/>
        <v>-2.993082190151914E-2</v>
      </c>
      <c r="AK19">
        <f t="shared" si="6"/>
        <v>-4.4547295459631594E-3</v>
      </c>
      <c r="AM19">
        <f t="shared" si="9"/>
        <v>-4.8930260760837355E-2</v>
      </c>
      <c r="AO19">
        <f t="shared" si="7"/>
        <v>4.5001173520571272E-2</v>
      </c>
      <c r="AP19">
        <f t="shared" si="7"/>
        <v>-0.11435481167987059</v>
      </c>
      <c r="AQ19">
        <f t="shared" si="7"/>
        <v>2.8089912480566873E-2</v>
      </c>
      <c r="AR19">
        <f t="shared" si="7"/>
        <v>6.3463427710938894E-2</v>
      </c>
      <c r="AS19">
        <f t="shared" si="7"/>
        <v>-6.2789694870532695E-2</v>
      </c>
      <c r="AT19">
        <f t="shared" si="7"/>
        <v>-7.3161280092924261E-2</v>
      </c>
    </row>
    <row r="20" spans="2:46" x14ac:dyDescent="0.3">
      <c r="C20" s="22">
        <f>'Third Iteration'!AK56</f>
        <v>-0.27804760044294669</v>
      </c>
      <c r="D20" s="22">
        <f>'Third Iteration'!AL56</f>
        <v>5.2224974366091012E-2</v>
      </c>
      <c r="E20" s="22">
        <f>'Third Iteration'!AM56</f>
        <v>-0.55030720849629766</v>
      </c>
      <c r="F20" s="22">
        <f>'Third Iteration'!AN56</f>
        <v>0.19977372799807544</v>
      </c>
      <c r="L20" s="18"/>
      <c r="M20" s="18">
        <v>-0.90830854603429634</v>
      </c>
      <c r="N20" s="18">
        <v>-2.8549738024881663</v>
      </c>
      <c r="O20" s="18">
        <v>-0.35274363068410408</v>
      </c>
      <c r="P20" s="18">
        <v>-0.1655752393543195</v>
      </c>
      <c r="Q20" s="18"/>
      <c r="R20" s="18"/>
      <c r="S20" s="18"/>
      <c r="T20" s="18"/>
      <c r="U20" s="18"/>
      <c r="V20" s="18"/>
      <c r="W20" s="18"/>
      <c r="X20" s="18"/>
      <c r="Z20" s="26">
        <f t="shared" si="5"/>
        <v>0.53252263927390908</v>
      </c>
      <c r="AA20" s="26">
        <f t="shared" si="8"/>
        <v>0.53252263927390908</v>
      </c>
      <c r="AB20" s="26">
        <f t="shared" si="8"/>
        <v>0.53252263927390908</v>
      </c>
      <c r="AC20" s="26">
        <f t="shared" si="8"/>
        <v>0.53252263927390908</v>
      </c>
      <c r="AF20">
        <f t="shared" si="6"/>
        <v>9.2447553624835802E-4</v>
      </c>
      <c r="AG20">
        <f t="shared" si="6"/>
        <v>2.3880056460599028E-2</v>
      </c>
      <c r="AH20">
        <f t="shared" si="6"/>
        <v>4.6880123744372374E-3</v>
      </c>
      <c r="AI20">
        <f t="shared" si="6"/>
        <v>-2.1939619254355554E-3</v>
      </c>
      <c r="AJ20">
        <f t="shared" si="6"/>
        <v>2.7424608321178771E-2</v>
      </c>
      <c r="AK20">
        <f t="shared" si="6"/>
        <v>1.4650924715559191E-2</v>
      </c>
      <c r="AM20">
        <f t="shared" si="9"/>
        <v>6.9374115482587026E-2</v>
      </c>
      <c r="AO20">
        <f t="shared" si="7"/>
        <v>-6.4962045496414975E-2</v>
      </c>
      <c r="AP20">
        <f t="shared" si="7"/>
        <v>0.11398276189150909</v>
      </c>
      <c r="AQ20">
        <f t="shared" si="7"/>
        <v>-4.5971968997662246E-2</v>
      </c>
      <c r="AR20">
        <f t="shared" si="7"/>
        <v>-8.5693770858890003E-2</v>
      </c>
      <c r="AS20">
        <f t="shared" si="7"/>
        <v>5.6079007076298051E-2</v>
      </c>
      <c r="AT20">
        <f t="shared" si="7"/>
        <v>6.772551861205163E-2</v>
      </c>
    </row>
    <row r="21" spans="2:46" x14ac:dyDescent="0.3">
      <c r="C21" s="22">
        <f>'Third Iteration'!AK57</f>
        <v>-0.27985075089437084</v>
      </c>
      <c r="D21" s="22">
        <f>'Third Iteration'!AL57</f>
        <v>-0.13464607453006636</v>
      </c>
      <c r="E21" s="22">
        <f>'Third Iteration'!AM57</f>
        <v>-0.38490952878187584</v>
      </c>
      <c r="F21" s="22">
        <f>'Third Iteration'!AN57</f>
        <v>0.88758565647972409</v>
      </c>
      <c r="L21" s="18"/>
      <c r="M21" s="18">
        <v>-0.56340467637710323</v>
      </c>
      <c r="N21" s="18">
        <v>-1.0007025028401384</v>
      </c>
      <c r="O21" s="18">
        <v>-0.44194287705585322</v>
      </c>
      <c r="P21" s="18">
        <v>1.2153140084326546</v>
      </c>
      <c r="Q21" s="18"/>
      <c r="R21" s="23">
        <f>EXP(R14)</f>
        <v>2.4142200756346139</v>
      </c>
      <c r="S21" s="23">
        <f t="shared" ref="S21:W21" si="10">EXP(S14)</f>
        <v>0.36102443635635079</v>
      </c>
      <c r="T21" s="23">
        <f t="shared" si="10"/>
        <v>2.3727491305292268</v>
      </c>
      <c r="U21" s="23">
        <f t="shared" si="10"/>
        <v>0.59590054641370827</v>
      </c>
      <c r="V21" s="23">
        <f t="shared" si="10"/>
        <v>2.2775558607540347</v>
      </c>
      <c r="W21" s="23">
        <f t="shared" si="10"/>
        <v>0.24311452123291638</v>
      </c>
      <c r="X21" s="18"/>
      <c r="Z21" s="1" t="s">
        <v>81</v>
      </c>
    </row>
    <row r="22" spans="2:46" x14ac:dyDescent="0.3">
      <c r="C22" s="22">
        <f>'Third Iteration'!AK58</f>
        <v>-1.9345335844818307E-2</v>
      </c>
      <c r="D22" s="22">
        <f>'Third Iteration'!AL58</f>
        <v>-0.53581348253468652</v>
      </c>
      <c r="E22" s="22">
        <f>'Third Iteration'!AM58</f>
        <v>0.46572266826710268</v>
      </c>
      <c r="F22" s="22">
        <f>'Third Iteration'!AN58</f>
        <v>-0.58452340853752316</v>
      </c>
      <c r="L22" s="18"/>
      <c r="M22" s="18">
        <v>-0.90362485290400385</v>
      </c>
      <c r="N22" s="18">
        <v>-2.7595241067501601</v>
      </c>
      <c r="O22" s="18">
        <v>-0.25907114556319366</v>
      </c>
      <c r="P22" s="18">
        <v>-0.1868928151158058</v>
      </c>
      <c r="Q22" s="18"/>
      <c r="R22" s="23">
        <f t="shared" ref="R22:W26" si="11">EXP(R15)</f>
        <v>1.3915813319354837</v>
      </c>
      <c r="S22" s="23">
        <f t="shared" si="11"/>
        <v>1.1196004884736523</v>
      </c>
      <c r="T22" s="23">
        <f t="shared" si="11"/>
        <v>1.3602900523339085</v>
      </c>
      <c r="U22" s="23">
        <f t="shared" si="11"/>
        <v>1.1606556391652088</v>
      </c>
      <c r="V22" s="23">
        <f t="shared" si="11"/>
        <v>1.4690539218411365</v>
      </c>
      <c r="W22" s="23">
        <f t="shared" si="11"/>
        <v>0.92168922670227105</v>
      </c>
      <c r="X22" s="18"/>
      <c r="Z22" s="26">
        <f t="shared" ref="Z22:AE27" si="12">R29*AO15/SQRT(4)</f>
        <v>6.3872694467182294E-3</v>
      </c>
      <c r="AA22" s="26">
        <f t="shared" si="12"/>
        <v>-2.5306013282118929E-3</v>
      </c>
      <c r="AB22" s="26">
        <f t="shared" si="12"/>
        <v>3.8463532173643139E-3</v>
      </c>
      <c r="AC22" s="26">
        <f t="shared" si="12"/>
        <v>2.2431438558870166E-3</v>
      </c>
      <c r="AD22" s="26">
        <f t="shared" si="12"/>
        <v>-8.8488350202097239E-3</v>
      </c>
      <c r="AE22" s="26">
        <f t="shared" si="12"/>
        <v>-1.0973301715479448E-3</v>
      </c>
    </row>
    <row r="23" spans="2:46" x14ac:dyDescent="0.3">
      <c r="C23" s="22">
        <f>'Third Iteration'!AK59</f>
        <v>0.1002780540914382</v>
      </c>
      <c r="D23" s="22">
        <f>'Third Iteration'!AL59</f>
        <v>-0.98212919131716059</v>
      </c>
      <c r="E23" s="22">
        <f>'Third Iteration'!AM59</f>
        <v>-0.64555730719371252</v>
      </c>
      <c r="F23" s="22">
        <f>'Third Iteration'!AN59</f>
        <v>0.10747547813108152</v>
      </c>
      <c r="L23" s="18"/>
      <c r="M23" s="18">
        <v>-1.1086649231948702</v>
      </c>
      <c r="N23" s="18">
        <v>-1.3690365380501002</v>
      </c>
      <c r="O23" s="18">
        <v>-1.2675826390185143</v>
      </c>
      <c r="P23" s="18">
        <v>2.9980618608206977</v>
      </c>
      <c r="Q23" s="18"/>
      <c r="R23" s="23">
        <f t="shared" si="11"/>
        <v>2.0273509727847472</v>
      </c>
      <c r="S23" s="23">
        <f t="shared" si="11"/>
        <v>0.37921177470721656</v>
      </c>
      <c r="T23" s="23">
        <f t="shared" si="11"/>
        <v>2.0001393143414625</v>
      </c>
      <c r="U23" s="23">
        <f t="shared" si="11"/>
        <v>0.60222039374556879</v>
      </c>
      <c r="V23" s="23">
        <f t="shared" si="11"/>
        <v>1.9371972106721207</v>
      </c>
      <c r="W23" s="23">
        <f t="shared" si="11"/>
        <v>0.25933107350177209</v>
      </c>
      <c r="X23" s="18"/>
      <c r="Z23" s="26">
        <f t="shared" si="12"/>
        <v>-6.3571656909826111E-3</v>
      </c>
      <c r="AA23" s="26">
        <f t="shared" si="12"/>
        <v>8.4125081175446866E-3</v>
      </c>
      <c r="AB23" s="26">
        <f t="shared" si="12"/>
        <v>-4.4700693065209702E-3</v>
      </c>
      <c r="AC23" s="26">
        <f t="shared" si="12"/>
        <v>-6.9268927711765241E-3</v>
      </c>
      <c r="AD23" s="26">
        <f t="shared" si="12"/>
        <v>5.2948405111436225E-3</v>
      </c>
      <c r="AE23" s="26">
        <f t="shared" si="12"/>
        <v>4.0467791399917945E-3</v>
      </c>
    </row>
    <row r="24" spans="2:46" x14ac:dyDescent="0.3">
      <c r="C24" s="22">
        <f>'Third Iteration'!AK60</f>
        <v>0.36293492707759084</v>
      </c>
      <c r="D24" s="22">
        <f>'Third Iteration'!AL60</f>
        <v>8.2205128732656799E-2</v>
      </c>
      <c r="E24" s="22">
        <f>'Third Iteration'!AM60</f>
        <v>-3.059903586644868E-2</v>
      </c>
      <c r="F24" s="22">
        <f>'Third Iteration'!AN60</f>
        <v>-0.13760264426876156</v>
      </c>
      <c r="L24" s="18"/>
      <c r="M24" s="18"/>
      <c r="N24" s="18"/>
      <c r="O24" s="18"/>
      <c r="P24" s="18"/>
      <c r="Q24" s="18"/>
      <c r="R24" s="23">
        <f t="shared" si="11"/>
        <v>1.4122214801780533</v>
      </c>
      <c r="S24" s="23">
        <f t="shared" si="11"/>
        <v>1.0745774569185458</v>
      </c>
      <c r="T24" s="23">
        <f t="shared" si="11"/>
        <v>1.3914971131268026</v>
      </c>
      <c r="U24" s="23">
        <f t="shared" si="11"/>
        <v>1.1134118480396569</v>
      </c>
      <c r="V24" s="23">
        <f t="shared" si="11"/>
        <v>1.4507915390639734</v>
      </c>
      <c r="W24" s="23">
        <f t="shared" si="11"/>
        <v>0.95333453248868183</v>
      </c>
      <c r="X24" s="18"/>
      <c r="Z24" s="26">
        <f t="shared" si="12"/>
        <v>6.3000022312742592E-3</v>
      </c>
      <c r="AA24" s="26">
        <f t="shared" si="12"/>
        <v>-3.0160002251312041E-3</v>
      </c>
      <c r="AB24" s="26">
        <f t="shared" si="12"/>
        <v>3.8676686252039358E-3</v>
      </c>
      <c r="AC24" s="26">
        <f t="shared" si="12"/>
        <v>2.6431231766025558E-3</v>
      </c>
      <c r="AD24" s="26">
        <f t="shared" si="12"/>
        <v>-8.4737324964205742E-3</v>
      </c>
      <c r="AE24" s="26">
        <f t="shared" si="12"/>
        <v>-1.3210613115289722E-3</v>
      </c>
    </row>
    <row r="25" spans="2:46" x14ac:dyDescent="0.3">
      <c r="C25" s="22">
        <f>'Third Iteration'!AK61</f>
        <v>-0.74555936292240921</v>
      </c>
      <c r="D25" s="22">
        <f>'Third Iteration'!AL61</f>
        <v>-0.36340111126734326</v>
      </c>
      <c r="E25" s="22">
        <f>'Third Iteration'!AM61</f>
        <v>-0.2030942858664487</v>
      </c>
      <c r="F25" s="22">
        <f>'Third Iteration'!AN61</f>
        <v>0.54151031573123853</v>
      </c>
      <c r="L25" s="19" t="s">
        <v>4</v>
      </c>
      <c r="M25" s="20"/>
      <c r="N25" s="18"/>
      <c r="O25" s="18"/>
      <c r="P25" s="18"/>
      <c r="Q25" s="18"/>
      <c r="R25" s="23">
        <f t="shared" si="11"/>
        <v>1.7516600056546732</v>
      </c>
      <c r="S25" s="23">
        <f t="shared" si="11"/>
        <v>0.35021623952856018</v>
      </c>
      <c r="T25" s="23">
        <f t="shared" si="11"/>
        <v>1.736890914990425</v>
      </c>
      <c r="U25" s="23">
        <f t="shared" si="11"/>
        <v>0.56424478701428171</v>
      </c>
      <c r="V25" s="23">
        <f t="shared" si="11"/>
        <v>1.6958044919655542</v>
      </c>
      <c r="W25" s="23">
        <f t="shared" si="11"/>
        <v>0.23095302809437696</v>
      </c>
      <c r="X25" s="18"/>
      <c r="Z25" s="26">
        <f t="shared" si="12"/>
        <v>-6.4384991190543639E-3</v>
      </c>
      <c r="AA25" s="26">
        <f t="shared" si="12"/>
        <v>8.12741959690386E-3</v>
      </c>
      <c r="AB25" s="26">
        <f t="shared" si="12"/>
        <v>-4.5538954191400626E-3</v>
      </c>
      <c r="AC25" s="26">
        <f t="shared" si="12"/>
        <v>-6.6399259443032932E-3</v>
      </c>
      <c r="AD25" s="26">
        <f t="shared" si="12"/>
        <v>5.2819164355823239E-3</v>
      </c>
      <c r="AE25" s="26">
        <f t="shared" si="12"/>
        <v>4.2229844500115384E-3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si="11"/>
        <v>2.1702967795665415</v>
      </c>
      <c r="S26" s="23">
        <f t="shared" si="11"/>
        <v>1.3489760545543241</v>
      </c>
      <c r="T26" s="23">
        <f t="shared" si="11"/>
        <v>2.0749094633816521</v>
      </c>
      <c r="U26" s="23">
        <f t="shared" si="11"/>
        <v>1.3924647135316846</v>
      </c>
      <c r="V26" s="23">
        <f t="shared" si="11"/>
        <v>2.2642535314192744</v>
      </c>
      <c r="W26" s="23">
        <f t="shared" si="11"/>
        <v>1.1068654629835388</v>
      </c>
      <c r="X26" s="18"/>
      <c r="Z26" s="26">
        <f t="shared" si="12"/>
        <v>6.2266687808603541E-3</v>
      </c>
      <c r="AA26" s="26">
        <f t="shared" si="12"/>
        <v>-3.163536391470973E-3</v>
      </c>
      <c r="AB26" s="26">
        <f t="shared" si="12"/>
        <v>3.8539408143394706E-3</v>
      </c>
      <c r="AC26" s="26">
        <f t="shared" si="12"/>
        <v>2.8286107762092311E-3</v>
      </c>
      <c r="AD26" s="26">
        <f t="shared" si="12"/>
        <v>-8.4109735087154781E-3</v>
      </c>
      <c r="AE26" s="26">
        <f t="shared" si="12"/>
        <v>-1.3347104712226041E-3</v>
      </c>
    </row>
    <row r="27" spans="2:46" x14ac:dyDescent="0.3">
      <c r="C27" s="22">
        <f>'Third Iteration'!AK38</f>
        <v>0.17261450158779171</v>
      </c>
      <c r="D27" s="22">
        <f>'Third Iteration'!AL38</f>
        <v>-0.88071471841220828</v>
      </c>
      <c r="E27" s="22">
        <f>'Third Iteration'!AM38</f>
        <v>0.16284734158779171</v>
      </c>
      <c r="F27" s="22">
        <f>'Third Iteration'!AN38</f>
        <v>-0.19173577841220829</v>
      </c>
      <c r="L27" s="18"/>
      <c r="M27" s="18">
        <f t="array" ref="M27:P32">MMULT(C4:H9,C27:F32)</f>
        <v>-1.4626341757874732</v>
      </c>
      <c r="N27" s="18">
        <v>-0.99422475869687399</v>
      </c>
      <c r="O27" s="18">
        <v>0.38286265551932619</v>
      </c>
      <c r="P27" s="18">
        <v>2.0822815041569265</v>
      </c>
      <c r="Q27" s="18"/>
      <c r="R27" s="18"/>
      <c r="S27" s="18"/>
      <c r="T27" s="18"/>
      <c r="U27" s="18"/>
      <c r="V27" s="18"/>
      <c r="W27" s="18"/>
      <c r="X27" s="18"/>
      <c r="Z27" s="26">
        <f t="shared" si="12"/>
        <v>-6.8058555320190412E-3</v>
      </c>
      <c r="AA27" s="26">
        <f t="shared" si="12"/>
        <v>7.4224507651022885E-3</v>
      </c>
      <c r="AB27" s="26">
        <f t="shared" si="12"/>
        <v>-4.6046451268288088E-3</v>
      </c>
      <c r="AC27" s="26">
        <f t="shared" si="12"/>
        <v>-5.7601973257475356E-3</v>
      </c>
      <c r="AD27" s="26">
        <f t="shared" si="12"/>
        <v>6.1295596822877304E-3</v>
      </c>
      <c r="AE27" s="26">
        <f t="shared" si="12"/>
        <v>3.618687537205372E-3</v>
      </c>
    </row>
    <row r="28" spans="2:46" x14ac:dyDescent="0.3">
      <c r="C28" s="22">
        <f>'Third Iteration'!AK39</f>
        <v>-0.52195977991888398</v>
      </c>
      <c r="D28" s="22">
        <f>'Third Iteration'!AL39</f>
        <v>0.12233936008111604</v>
      </c>
      <c r="E28" s="22">
        <f>'Third Iteration'!AM39</f>
        <v>0.332000980081116</v>
      </c>
      <c r="F28" s="22">
        <f>'Third Iteration'!AN39</f>
        <v>0.28214128008111605</v>
      </c>
      <c r="L28" s="18"/>
      <c r="M28" s="18">
        <v>-2.0650758028305662</v>
      </c>
      <c r="N28" s="18">
        <v>0.14192678526641364</v>
      </c>
      <c r="O28" s="18">
        <v>1.0506372421258736</v>
      </c>
      <c r="P28" s="18">
        <v>1.2168293008379538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'Third Iteration'!AK40</f>
        <v>-0.47508253755894708</v>
      </c>
      <c r="D29" s="22">
        <f>'Third Iteration'!AL40</f>
        <v>-0.21007996755894709</v>
      </c>
      <c r="E29" s="22">
        <f>'Third Iteration'!AM40</f>
        <v>0.11015794244105294</v>
      </c>
      <c r="F29" s="22">
        <f>'Third Iteration'!AN40</f>
        <v>0.43229878244105296</v>
      </c>
      <c r="L29" s="18"/>
      <c r="M29" s="18">
        <v>-1.4102078471075747</v>
      </c>
      <c r="N29" s="18">
        <v>-1.1236691401075753</v>
      </c>
      <c r="O29" s="18">
        <v>0.46509667989242487</v>
      </c>
      <c r="P29" s="18">
        <v>2.1127261318924249</v>
      </c>
      <c r="Q29" s="18"/>
      <c r="R29" s="24">
        <f t="shared" ref="R29:W34" si="13">R21/SUM($R21:$W21)</f>
        <v>0.29211703229098462</v>
      </c>
      <c r="S29" s="24">
        <f t="shared" si="13"/>
        <v>4.3683418921624424E-2</v>
      </c>
      <c r="T29" s="24">
        <f t="shared" si="13"/>
        <v>0.28709910971932195</v>
      </c>
      <c r="U29" s="24">
        <f t="shared" si="13"/>
        <v>7.2103078304984677E-2</v>
      </c>
      <c r="V29" s="24">
        <f t="shared" si="13"/>
        <v>0.27558086590159769</v>
      </c>
      <c r="W29" s="24">
        <f t="shared" si="13"/>
        <v>2.941649486148647E-2</v>
      </c>
      <c r="X29" s="18"/>
      <c r="Z29" s="1" t="s">
        <v>14</v>
      </c>
      <c r="AG29" s="1" t="s">
        <v>12</v>
      </c>
    </row>
    <row r="30" spans="2:46" x14ac:dyDescent="0.3">
      <c r="C30" s="22">
        <f>'Third Iteration'!AK41</f>
        <v>-0.25027228842868404</v>
      </c>
      <c r="D30" s="22">
        <f>'Third Iteration'!AL41</f>
        <v>-0.10351465842868408</v>
      </c>
      <c r="E30" s="22">
        <f>'Third Iteration'!AM41</f>
        <v>-0.56385265842868404</v>
      </c>
      <c r="F30" s="22">
        <f>'Third Iteration'!AN41</f>
        <v>-0.60878847842868411</v>
      </c>
      <c r="L30" s="18"/>
      <c r="M30" s="18">
        <v>-1.5663166450987489</v>
      </c>
      <c r="N30" s="18">
        <v>-8.3763807808816954E-5</v>
      </c>
      <c r="O30" s="18">
        <v>0.66397424677057115</v>
      </c>
      <c r="P30" s="18">
        <v>0.87178022490681129</v>
      </c>
      <c r="Q30" s="18"/>
      <c r="R30" s="24">
        <f t="shared" si="13"/>
        <v>0.18747212440999342</v>
      </c>
      <c r="S30" s="24">
        <f t="shared" si="13"/>
        <v>0.15083119990743954</v>
      </c>
      <c r="T30" s="24">
        <f t="shared" si="13"/>
        <v>0.18325660173245409</v>
      </c>
      <c r="U30" s="24">
        <f t="shared" si="13"/>
        <v>0.15636209928176037</v>
      </c>
      <c r="V30" s="24">
        <f t="shared" si="13"/>
        <v>0.19790913637605381</v>
      </c>
      <c r="W30" s="24">
        <f t="shared" si="13"/>
        <v>0.12416883829229874</v>
      </c>
      <c r="X30" s="18"/>
      <c r="Z30" s="28">
        <f t="array" ref="Z30:AC35">MMULT(TRANSPOSE(Z22:AE27),M9:P14)</f>
        <v>5.7989768077725545E-3</v>
      </c>
      <c r="AA30" s="28">
        <v>4.062960023992453E-3</v>
      </c>
      <c r="AB30" s="28">
        <v>-5.474910023902417E-2</v>
      </c>
      <c r="AC30" s="28">
        <v>-3.6843763202866101E-2</v>
      </c>
      <c r="AG30" s="28">
        <f t="array" ref="AG30:AJ35">MMULT(TRANSPOSE(R29:W34),Z15:AC20)</f>
        <v>-8.9891092075629647E-2</v>
      </c>
      <c r="AH30" s="28">
        <v>-8.9891092075629647E-2</v>
      </c>
      <c r="AI30" s="28">
        <v>-8.9891092075629647E-2</v>
      </c>
      <c r="AJ30" s="28">
        <v>-8.9891092075629647E-2</v>
      </c>
    </row>
    <row r="31" spans="2:46" x14ac:dyDescent="0.3">
      <c r="C31" s="22">
        <f>'Third Iteration'!AK42</f>
        <v>0.40753750174308701</v>
      </c>
      <c r="D31" s="22">
        <f>'Third Iteration'!AL42</f>
        <v>0.67939460174308697</v>
      </c>
      <c r="E31" s="22">
        <f>'Third Iteration'!AM42</f>
        <v>-3.4730468256913005E-2</v>
      </c>
      <c r="F31" s="22">
        <f>'Third Iteration'!AN42</f>
        <v>0.50304104174308695</v>
      </c>
      <c r="L31" s="18"/>
      <c r="M31" s="18">
        <v>-1.3943136515437164</v>
      </c>
      <c r="N31" s="18">
        <v>-1.0667190585135171</v>
      </c>
      <c r="O31" s="18">
        <v>0.51286569289188311</v>
      </c>
      <c r="P31" s="18">
        <v>2.1837497197710833</v>
      </c>
      <c r="Q31" s="18"/>
      <c r="R31" s="24">
        <f t="shared" si="13"/>
        <v>0.28136351853739483</v>
      </c>
      <c r="S31" s="24">
        <f t="shared" si="13"/>
        <v>5.2628459815162329E-2</v>
      </c>
      <c r="T31" s="24">
        <f t="shared" si="13"/>
        <v>0.27758698054884734</v>
      </c>
      <c r="U31" s="24">
        <f t="shared" si="13"/>
        <v>8.3578448524126894E-2</v>
      </c>
      <c r="V31" s="24">
        <f t="shared" si="13"/>
        <v>0.26885163477483676</v>
      </c>
      <c r="W31" s="24">
        <f t="shared" si="13"/>
        <v>3.5990957799631823E-2</v>
      </c>
      <c r="X31" s="18"/>
      <c r="Z31" s="28">
        <v>-1.0314475151462525E-2</v>
      </c>
      <c r="AA31" s="28">
        <v>-8.1591261184709961E-3</v>
      </c>
      <c r="AB31" s="28">
        <v>5.5008046453648388E-2</v>
      </c>
      <c r="AC31" s="28">
        <v>2.3699156839432141E-2</v>
      </c>
      <c r="AG31" s="28">
        <v>0.15544837464665337</v>
      </c>
      <c r="AH31" s="28">
        <v>0.15544837464665337</v>
      </c>
      <c r="AI31" s="28">
        <v>0.15544837464665337</v>
      </c>
      <c r="AJ31" s="28">
        <v>0.15544837464665337</v>
      </c>
    </row>
    <row r="32" spans="2:46" x14ac:dyDescent="0.3">
      <c r="C32" s="22">
        <f>'Third Iteration'!AK43</f>
        <v>0.18209260174308697</v>
      </c>
      <c r="D32" s="22">
        <f>'Third Iteration'!AL43</f>
        <v>-0.32128528825691299</v>
      </c>
      <c r="E32" s="22">
        <f>'Third Iteration'!AM43</f>
        <v>0.18197239174308696</v>
      </c>
      <c r="F32" s="22">
        <f>'Third Iteration'!AN43</f>
        <v>0.77029287174308703</v>
      </c>
      <c r="L32" s="18"/>
      <c r="M32" s="18">
        <v>-2.6380033437630881</v>
      </c>
      <c r="N32" s="18">
        <v>0.24822307523691184</v>
      </c>
      <c r="O32" s="18">
        <v>1.269006065236912</v>
      </c>
      <c r="P32" s="18">
        <v>1.3782273592369119</v>
      </c>
      <c r="Q32" s="18"/>
      <c r="R32" s="24">
        <f t="shared" si="13"/>
        <v>0.1909482400418519</v>
      </c>
      <c r="S32" s="24">
        <f t="shared" si="13"/>
        <v>0.14529496758636967</v>
      </c>
      <c r="T32" s="24">
        <f t="shared" si="13"/>
        <v>0.18814607234368125</v>
      </c>
      <c r="U32" s="24">
        <f t="shared" si="13"/>
        <v>0.15054581438466236</v>
      </c>
      <c r="V32" s="24">
        <f t="shared" si="13"/>
        <v>0.1961633461466312</v>
      </c>
      <c r="W32" s="24">
        <f t="shared" si="13"/>
        <v>0.12890155949680365</v>
      </c>
      <c r="X32" s="18"/>
      <c r="Z32" s="28">
        <v>4.3780290675622764E-3</v>
      </c>
      <c r="AA32" s="28">
        <v>3.1640756067370145E-3</v>
      </c>
      <c r="AB32" s="28">
        <v>-3.669166368515759E-2</v>
      </c>
      <c r="AC32" s="28">
        <v>-2.3251810113874369E-2</v>
      </c>
      <c r="AG32" s="28">
        <v>-9.3259618614712519E-2</v>
      </c>
      <c r="AH32" s="28">
        <v>-9.3259618614712519E-2</v>
      </c>
      <c r="AI32" s="28">
        <v>-9.3259618614712519E-2</v>
      </c>
      <c r="AJ32" s="28">
        <v>-9.3259618614712519E-2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3"/>
        <v>0.27673361798060547</v>
      </c>
      <c r="S33" s="24">
        <f t="shared" si="13"/>
        <v>5.5328435157186086E-2</v>
      </c>
      <c r="T33" s="24">
        <f t="shared" si="13"/>
        <v>0.27440034332650193</v>
      </c>
      <c r="U33" s="24">
        <f t="shared" si="13"/>
        <v>8.9141443449694935E-2</v>
      </c>
      <c r="V33" s="24">
        <f t="shared" si="13"/>
        <v>0.26790936079744387</v>
      </c>
      <c r="W33" s="24">
        <f t="shared" si="13"/>
        <v>3.6486799288567663E-2</v>
      </c>
      <c r="X33" s="18"/>
      <c r="Z33" s="28">
        <v>8.1312957814851112E-3</v>
      </c>
      <c r="AA33" s="28">
        <v>6.3345352382816094E-3</v>
      </c>
      <c r="AB33" s="28">
        <v>-4.4667430099107161E-2</v>
      </c>
      <c r="AC33" s="28">
        <v>-2.0048940418863379E-2</v>
      </c>
      <c r="AG33" s="28">
        <v>0.11922494229622722</v>
      </c>
      <c r="AH33" s="28">
        <v>0.11922494229622722</v>
      </c>
      <c r="AI33" s="28">
        <v>0.11922494229622722</v>
      </c>
      <c r="AJ33" s="28">
        <v>0.11922494229622722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3"/>
        <v>0.20953328916943148</v>
      </c>
      <c r="S34" s="24">
        <f t="shared" si="13"/>
        <v>0.1302381279753006</v>
      </c>
      <c r="T34" s="24">
        <f t="shared" si="13"/>
        <v>0.2003240334153607</v>
      </c>
      <c r="U34" s="24">
        <f t="shared" si="13"/>
        <v>0.13443678036371448</v>
      </c>
      <c r="V34" s="24">
        <f t="shared" si="13"/>
        <v>0.21860442978058384</v>
      </c>
      <c r="W34" s="24">
        <f t="shared" si="13"/>
        <v>0.10686333929560883</v>
      </c>
      <c r="X34" s="18"/>
      <c r="Z34" s="28">
        <v>-2.7729343455109899E-3</v>
      </c>
      <c r="AA34" s="28">
        <v>-1.262178470209813E-3</v>
      </c>
      <c r="AB34" s="28">
        <v>5.4447946977987091E-2</v>
      </c>
      <c r="AC34" s="28">
        <v>4.557817403321579E-2</v>
      </c>
      <c r="AG34" s="28">
        <v>-5.873330110646055E-2</v>
      </c>
      <c r="AH34" s="28">
        <v>-5.873330110646055E-2</v>
      </c>
      <c r="AI34" s="28">
        <v>-5.873330110646055E-2</v>
      </c>
      <c r="AJ34" s="28">
        <v>-5.873330110646055E-2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-5.220892159846429E-3</v>
      </c>
      <c r="AA35" s="28">
        <v>-4.1402662803302712E-3</v>
      </c>
      <c r="AB35" s="28">
        <v>2.6652200591653449E-2</v>
      </c>
      <c r="AC35" s="28">
        <v>1.0867182862955927E-2</v>
      </c>
      <c r="AG35" s="28">
        <v>0.14362408988850614</v>
      </c>
      <c r="AH35" s="28">
        <v>0.14362408988850614</v>
      </c>
      <c r="AI35" s="28">
        <v>0.14362408988850614</v>
      </c>
      <c r="AJ35" s="28">
        <v>0.14362408988850614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1.1513371579280113E-3</v>
      </c>
      <c r="AA38" s="28">
        <v>-3.5948709643257712E-3</v>
      </c>
      <c r="AB38" s="28">
        <v>1.1421750573792568E-3</v>
      </c>
      <c r="AC38" s="28">
        <v>-6.0273370066242782E-3</v>
      </c>
      <c r="AF38">
        <f t="array" ref="AF38:AI43">MMULT(TRANSPOSE(C4:H9),AG30:AJ35)</f>
        <v>-0.22179308493077171</v>
      </c>
      <c r="AG38">
        <v>-0.22179308493077171</v>
      </c>
      <c r="AH38">
        <v>-0.22179308493077171</v>
      </c>
      <c r="AI38">
        <v>-0.22179308493077171</v>
      </c>
      <c r="AK38" s="22">
        <f t="shared" ref="AK38:AN43" si="14">C27-0.02*AF38</f>
        <v>0.17705036328640714</v>
      </c>
      <c r="AL38" s="22">
        <f t="shared" si="14"/>
        <v>-0.87627885671359285</v>
      </c>
      <c r="AM38" s="22">
        <f t="shared" si="14"/>
        <v>0.16728320328640714</v>
      </c>
      <c r="AN38" s="22">
        <f t="shared" si="14"/>
        <v>-0.18729991671359286</v>
      </c>
    </row>
    <row r="39" spans="12:40" x14ac:dyDescent="0.3">
      <c r="Z39" s="28">
        <v>-3.0317764274102026E-3</v>
      </c>
      <c r="AA39" s="28">
        <v>9.639296003319529E-3</v>
      </c>
      <c r="AB39" s="28">
        <v>-6.1295848756675059E-3</v>
      </c>
      <c r="AC39" s="28">
        <v>2.223302365050376E-2</v>
      </c>
      <c r="AF39">
        <v>1.0374073562896364</v>
      </c>
      <c r="AG39">
        <v>1.0374073562896364</v>
      </c>
      <c r="AH39">
        <v>1.0374073562896364</v>
      </c>
      <c r="AI39">
        <v>1.0374073562896364</v>
      </c>
      <c r="AK39" s="22">
        <f t="shared" si="14"/>
        <v>-0.54270792704467674</v>
      </c>
      <c r="AL39" s="22">
        <f t="shared" si="14"/>
        <v>0.10159121295532331</v>
      </c>
      <c r="AM39" s="22">
        <f t="shared" si="14"/>
        <v>0.3112528329553233</v>
      </c>
      <c r="AN39" s="22">
        <f t="shared" si="14"/>
        <v>0.26139313295532335</v>
      </c>
    </row>
    <row r="40" spans="12:40" x14ac:dyDescent="0.3">
      <c r="Z40" s="28">
        <v>1.3030103905742525E-3</v>
      </c>
      <c r="AA40" s="28">
        <v>-4.0226619982893057E-3</v>
      </c>
      <c r="AB40" s="28">
        <v>1.5402926957466939E-3</v>
      </c>
      <c r="AC40" s="28">
        <v>-7.2838531649263363E-3</v>
      </c>
      <c r="AF40">
        <v>-0.3073546285590214</v>
      </c>
      <c r="AG40">
        <v>-0.3073546285590214</v>
      </c>
      <c r="AH40">
        <v>-0.3073546285590214</v>
      </c>
      <c r="AI40">
        <v>-0.3073546285590214</v>
      </c>
      <c r="AK40" s="22">
        <f t="shared" si="14"/>
        <v>-0.46893544498776668</v>
      </c>
      <c r="AL40" s="22">
        <f t="shared" si="14"/>
        <v>-0.20393287498776666</v>
      </c>
      <c r="AM40" s="22">
        <f t="shared" si="14"/>
        <v>0.11630503501223337</v>
      </c>
      <c r="AN40" s="22">
        <f t="shared" si="14"/>
        <v>0.43844587501223337</v>
      </c>
    </row>
    <row r="41" spans="12:40" x14ac:dyDescent="0.3">
      <c r="Z41" s="28">
        <v>-2.9890959549819362E-3</v>
      </c>
      <c r="AA41" s="28">
        <v>9.9225817776444174E-3</v>
      </c>
      <c r="AB41" s="28">
        <v>-6.2043474781099785E-3</v>
      </c>
      <c r="AC41" s="28">
        <v>2.2545673703771849E-2</v>
      </c>
      <c r="AF41">
        <v>-0.13833433682357671</v>
      </c>
      <c r="AG41">
        <v>-0.13833433682357671</v>
      </c>
      <c r="AH41">
        <v>-0.13833433682357671</v>
      </c>
      <c r="AI41">
        <v>-0.13833433682357671</v>
      </c>
      <c r="AK41" s="22">
        <f t="shared" si="14"/>
        <v>-0.2475056016922125</v>
      </c>
      <c r="AL41" s="22">
        <f t="shared" si="14"/>
        <v>-0.10074797169221254</v>
      </c>
      <c r="AM41" s="22">
        <f t="shared" si="14"/>
        <v>-0.56108597169221253</v>
      </c>
      <c r="AN41" s="22">
        <f t="shared" si="14"/>
        <v>-0.6060217916922126</v>
      </c>
    </row>
    <row r="42" spans="12:40" x14ac:dyDescent="0.3">
      <c r="Z42" s="28">
        <v>1.3574901936594288E-3</v>
      </c>
      <c r="AA42" s="28">
        <v>-3.9533142680330214E-3</v>
      </c>
      <c r="AB42" s="28">
        <v>1.6000060452179669E-3</v>
      </c>
      <c r="AC42" s="28">
        <v>-7.4034814819343778E-3</v>
      </c>
      <c r="AF42">
        <v>-0.24188401179680272</v>
      </c>
      <c r="AG42">
        <v>-0.24188401179680272</v>
      </c>
      <c r="AH42">
        <v>-0.24188401179680272</v>
      </c>
      <c r="AI42">
        <v>-0.24188401179680272</v>
      </c>
      <c r="AK42" s="22">
        <f t="shared" si="14"/>
        <v>0.41237518197902306</v>
      </c>
      <c r="AL42" s="22">
        <f t="shared" si="14"/>
        <v>0.68423228197902297</v>
      </c>
      <c r="AM42" s="22">
        <f t="shared" si="14"/>
        <v>-2.9892788020976953E-2</v>
      </c>
      <c r="AN42" s="22">
        <f t="shared" si="14"/>
        <v>0.50787872197902295</v>
      </c>
    </row>
    <row r="43" spans="12:40" x14ac:dyDescent="0.3">
      <c r="Z43" s="28">
        <v>-2.6213915382488811E-3</v>
      </c>
      <c r="AA43" s="28">
        <v>9.4947920684791583E-3</v>
      </c>
      <c r="AB43" s="28">
        <v>-5.3743402372914764E-3</v>
      </c>
      <c r="AC43" s="28">
        <v>2.0248199275189616E-2</v>
      </c>
      <c r="AF43">
        <v>-0.24188401179680272</v>
      </c>
      <c r="AG43">
        <v>-0.24188401179680272</v>
      </c>
      <c r="AH43">
        <v>-0.24188401179680272</v>
      </c>
      <c r="AI43">
        <v>-0.24188401179680272</v>
      </c>
      <c r="AK43" s="22">
        <f t="shared" si="14"/>
        <v>0.18693028197902303</v>
      </c>
      <c r="AL43" s="22">
        <f t="shared" si="14"/>
        <v>-0.31644760802097693</v>
      </c>
      <c r="AM43" s="22">
        <f t="shared" si="14"/>
        <v>0.18681007197902302</v>
      </c>
      <c r="AN43" s="22">
        <f t="shared" si="14"/>
        <v>0.77513055197902303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3.4937741397664032E-3</v>
      </c>
      <c r="AG48">
        <v>-1.0582560848848928E-2</v>
      </c>
      <c r="AH48">
        <v>3.8856067905364291E-3</v>
      </c>
      <c r="AI48">
        <v>-1.8890731838379585E-2</v>
      </c>
      <c r="AK48" s="22">
        <f t="shared" ref="AK48:AN53" si="15">C13-0.02*AF48</f>
        <v>0.24812417722417066</v>
      </c>
      <c r="AL48" s="22">
        <f t="shared" si="15"/>
        <v>-6.4820417227425778E-2</v>
      </c>
      <c r="AM48" s="22">
        <f t="shared" si="15"/>
        <v>0.32291657493678388</v>
      </c>
      <c r="AN48" s="22">
        <f t="shared" si="15"/>
        <v>0.76785430320420989</v>
      </c>
    </row>
    <row r="49" spans="27:40" x14ac:dyDescent="0.3">
      <c r="AF49">
        <v>-2.1747249603028311E-2</v>
      </c>
      <c r="AG49">
        <v>7.5171372608515946E-2</v>
      </c>
      <c r="AH49">
        <v>-4.8012336734044467E-2</v>
      </c>
      <c r="AI49">
        <v>0.17206854380632847</v>
      </c>
      <c r="AK49" s="22">
        <f t="shared" si="15"/>
        <v>-0.10351897201857932</v>
      </c>
      <c r="AL49" s="22">
        <f t="shared" si="15"/>
        <v>-0.17093347074809914</v>
      </c>
      <c r="AM49" s="22">
        <f t="shared" si="15"/>
        <v>0.81342776778597337</v>
      </c>
      <c r="AN49" s="22">
        <f t="shared" si="15"/>
        <v>0.25497388261729731</v>
      </c>
    </row>
    <row r="50" spans="27:40" x14ac:dyDescent="0.3">
      <c r="AF50">
        <v>2.7932493058440578E-3</v>
      </c>
      <c r="AG50">
        <v>-5.6558718425011884E-3</v>
      </c>
      <c r="AH50">
        <v>-4.8608511960372084E-3</v>
      </c>
      <c r="AI50">
        <v>2.8828816690102468E-3</v>
      </c>
      <c r="AK50" s="22">
        <f t="shared" si="15"/>
        <v>-0.23103001939200038</v>
      </c>
      <c r="AL50" s="22">
        <f t="shared" si="15"/>
        <v>0.26588533344719711</v>
      </c>
      <c r="AM50" s="22">
        <f t="shared" si="15"/>
        <v>-0.22664040820164089</v>
      </c>
      <c r="AN50" s="22">
        <f t="shared" si="15"/>
        <v>-0.25673719342918233</v>
      </c>
    </row>
    <row r="51" spans="27:40" x14ac:dyDescent="0.3">
      <c r="AF51">
        <v>1.7226243691603098E-3</v>
      </c>
      <c r="AG51">
        <v>-4.5810346008079792E-3</v>
      </c>
      <c r="AH51">
        <v>3.4231326534946561E-4</v>
      </c>
      <c r="AI51">
        <v>-5.6986931522438541E-3</v>
      </c>
      <c r="AK51" s="22">
        <f t="shared" si="15"/>
        <v>0.12164181088574512</v>
      </c>
      <c r="AL51" s="22">
        <f t="shared" si="15"/>
        <v>-0.95630787889589064</v>
      </c>
      <c r="AM51" s="22">
        <f t="shared" si="15"/>
        <v>-0.86175065664141293</v>
      </c>
      <c r="AN51" s="22">
        <f t="shared" si="15"/>
        <v>-0.28382816316349274</v>
      </c>
    </row>
    <row r="52" spans="27:40" x14ac:dyDescent="0.3">
      <c r="AF52">
        <v>3.8118377421616926E-3</v>
      </c>
      <c r="AG52">
        <v>-1.1570847230648098E-2</v>
      </c>
      <c r="AH52">
        <v>4.2824737983439172E-3</v>
      </c>
      <c r="AI52">
        <v>-2.0714671653484992E-2</v>
      </c>
      <c r="AK52" s="22">
        <f t="shared" si="15"/>
        <v>-0.50669724360714108</v>
      </c>
      <c r="AL52" s="22">
        <f t="shared" si="15"/>
        <v>0.16189585332357581</v>
      </c>
      <c r="AM52" s="22">
        <f t="shared" si="15"/>
        <v>-0.45506376097348322</v>
      </c>
      <c r="AN52" s="22">
        <f t="shared" si="15"/>
        <v>-0.69902609228198986</v>
      </c>
    </row>
    <row r="53" spans="27:40" x14ac:dyDescent="0.3">
      <c r="AF53">
        <v>3.8118377421616926E-3</v>
      </c>
      <c r="AG53">
        <v>-1.1570847230648098E-2</v>
      </c>
      <c r="AH53">
        <v>4.2824737983439172E-3</v>
      </c>
      <c r="AI53">
        <v>-2.0714671653484992E-2</v>
      </c>
      <c r="AK53" s="22">
        <f t="shared" si="15"/>
        <v>0.73254269639285896</v>
      </c>
      <c r="AL53" s="22">
        <f t="shared" si="15"/>
        <v>-0.10811596667642419</v>
      </c>
      <c r="AM53" s="22">
        <f t="shared" si="15"/>
        <v>3.2712379026516795E-2</v>
      </c>
      <c r="AN53" s="22">
        <f t="shared" si="15"/>
        <v>-0.7052483322819898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6.7048100672602159E-3</v>
      </c>
      <c r="AG56">
        <v>5.444103520314548E-3</v>
      </c>
      <c r="AH56">
        <v>-3.1601291684036539E-2</v>
      </c>
      <c r="AI56">
        <v>-1.1273574530862376E-2</v>
      </c>
      <c r="AK56" s="22">
        <f t="shared" ref="AK56:AN61" si="16">C20-0.02*AF56</f>
        <v>-0.27818169664429188</v>
      </c>
      <c r="AL56" s="22">
        <f t="shared" si="16"/>
        <v>5.2116092295684723E-2</v>
      </c>
      <c r="AM56" s="22">
        <f t="shared" si="16"/>
        <v>-0.54967518266261695</v>
      </c>
      <c r="AN56" s="22">
        <f t="shared" si="16"/>
        <v>0.19999919948869269</v>
      </c>
    </row>
    <row r="57" spans="27:40" x14ac:dyDescent="0.3">
      <c r="AF57">
        <v>-2.8160331000979224E-2</v>
      </c>
      <c r="AG57">
        <v>-2.2404515839651199E-2</v>
      </c>
      <c r="AH57">
        <v>0.14530526458314996</v>
      </c>
      <c r="AI57">
        <v>5.9950921848868702E-2</v>
      </c>
      <c r="AK57" s="22">
        <f t="shared" si="16"/>
        <v>-0.27928754427435126</v>
      </c>
      <c r="AL57" s="22">
        <f t="shared" si="16"/>
        <v>-0.13419798421327334</v>
      </c>
      <c r="AM57" s="22">
        <f t="shared" si="16"/>
        <v>-0.38781563407353886</v>
      </c>
      <c r="AN57" s="22">
        <f t="shared" si="16"/>
        <v>0.88638663804274676</v>
      </c>
    </row>
    <row r="58" spans="27:40" x14ac:dyDescent="0.3">
      <c r="AF58">
        <v>1.4808143059647675E-2</v>
      </c>
      <c r="AG58">
        <v>1.1929714321039305E-2</v>
      </c>
      <c r="AH58">
        <v>-7.3985633892389338E-2</v>
      </c>
      <c r="AI58">
        <v>-2.9034798567049332E-2</v>
      </c>
      <c r="AK58" s="22">
        <f t="shared" si="16"/>
        <v>-1.964149870601126E-2</v>
      </c>
      <c r="AL58" s="22">
        <f t="shared" si="16"/>
        <v>-0.53605207682110734</v>
      </c>
      <c r="AM58" s="22">
        <f t="shared" si="16"/>
        <v>0.46720238094495048</v>
      </c>
      <c r="AN58" s="22">
        <f t="shared" si="16"/>
        <v>-0.58394271256618213</v>
      </c>
    </row>
    <row r="59" spans="27:40" x14ac:dyDescent="0.3">
      <c r="AF59">
        <v>6.5493994853666531E-3</v>
      </c>
      <c r="AG59">
        <v>5.1097998455980559E-3</v>
      </c>
      <c r="AH59">
        <v>-3.9650261170236865E-2</v>
      </c>
      <c r="AI59">
        <v>-1.9687570619723083E-2</v>
      </c>
      <c r="AK59" s="22">
        <f t="shared" si="16"/>
        <v>0.10014706610173087</v>
      </c>
      <c r="AL59" s="22">
        <f t="shared" si="16"/>
        <v>-0.98223138731407256</v>
      </c>
      <c r="AM59" s="22">
        <f t="shared" si="16"/>
        <v>-0.64476430197030776</v>
      </c>
      <c r="AN59" s="22">
        <f t="shared" si="16"/>
        <v>0.10786922954347598</v>
      </c>
    </row>
    <row r="60" spans="27:40" x14ac:dyDescent="0.3">
      <c r="AF60">
        <v>7.4040715298238418E-3</v>
      </c>
      <c r="AG60">
        <v>5.9648571605196545E-3</v>
      </c>
      <c r="AH60">
        <v>-3.6992816946194676E-2</v>
      </c>
      <c r="AI60">
        <v>-1.4517399283524676E-2</v>
      </c>
      <c r="AK60" s="22">
        <f t="shared" si="16"/>
        <v>0.36278684564699437</v>
      </c>
      <c r="AL60" s="22">
        <f t="shared" si="16"/>
        <v>8.2085831589446406E-2</v>
      </c>
      <c r="AM60" s="22">
        <f t="shared" si="16"/>
        <v>-2.9859179527524787E-2</v>
      </c>
      <c r="AN60" s="22">
        <f t="shared" si="16"/>
        <v>-0.13731229628309108</v>
      </c>
    </row>
    <row r="61" spans="27:40" x14ac:dyDescent="0.3">
      <c r="AF61">
        <v>7.4040715298238418E-3</v>
      </c>
      <c r="AG61">
        <v>5.9648571605196545E-3</v>
      </c>
      <c r="AH61">
        <v>-3.6992816946194676E-2</v>
      </c>
      <c r="AI61">
        <v>-1.4517399283524676E-2</v>
      </c>
      <c r="AK61" s="22">
        <f t="shared" si="16"/>
        <v>-0.74570744435300573</v>
      </c>
      <c r="AL61" s="22">
        <f t="shared" si="16"/>
        <v>-0.36352040841055366</v>
      </c>
      <c r="AM61" s="22">
        <f t="shared" si="16"/>
        <v>-0.2023544295275248</v>
      </c>
      <c r="AN61" s="22">
        <f t="shared" si="16"/>
        <v>0.54180066371690905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2A99-DB1F-4457-96C5-52BE80963E09}">
  <dimension ref="B3:AT61"/>
  <sheetViews>
    <sheetView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1.7580867134555467</v>
      </c>
      <c r="S6" s="18">
        <v>-2.032641763818861</v>
      </c>
      <c r="T6" s="18">
        <v>1.7233045958714721</v>
      </c>
      <c r="U6" s="18">
        <v>-1.0322905835841731</v>
      </c>
      <c r="V6" s="18">
        <v>1.6416842481598308</v>
      </c>
      <c r="W6" s="18">
        <v>-2.8220896177611077</v>
      </c>
      <c r="X6" s="18"/>
      <c r="Z6">
        <f t="array" ref="Z6:AC11">MMULT(R29:W34,M27:P32)</f>
        <v>-1.4927078926777739</v>
      </c>
      <c r="AA6">
        <v>-0.88811307109891668</v>
      </c>
      <c r="AB6">
        <v>0.5228201308302669</v>
      </c>
      <c r="AC6">
        <v>1.9773636961241461</v>
      </c>
      <c r="AE6" s="25">
        <f>1/(1+EXP(-SUM(Z6:AC6)))</f>
        <v>0.52980533658403495</v>
      </c>
      <c r="AG6" s="25">
        <f t="shared" ref="AG6:AG11" si="0">AE6-J4</f>
        <v>-0.47019466341596505</v>
      </c>
      <c r="AI6" s="25">
        <f>-J4*LN(AE6)-(1-J4)*LN(1-AE6)</f>
        <v>0.6352456293673503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0.68451973924427445</v>
      </c>
      <c r="S7" s="18">
        <v>0.1877348219893884</v>
      </c>
      <c r="T7" s="18">
        <v>0.63826405089963945</v>
      </c>
      <c r="U7" s="18">
        <v>0.27739561425998782</v>
      </c>
      <c r="V7" s="18">
        <v>0.79191132504828066</v>
      </c>
      <c r="W7" s="18">
        <v>-0.21793814491950969</v>
      </c>
      <c r="X7" s="18"/>
      <c r="Z7">
        <v>-1.7014976369457677</v>
      </c>
      <c r="AA7">
        <v>-0.57491376046618403</v>
      </c>
      <c r="AB7">
        <v>0.65906563388457517</v>
      </c>
      <c r="AC7">
        <v>1.6925211433213738</v>
      </c>
      <c r="AE7" s="25">
        <f t="shared" ref="AE7:AE11" si="1">1/(1+EXP(-SUM(Z7:AC7)))</f>
        <v>0.51878499908381281</v>
      </c>
      <c r="AG7" s="25">
        <f t="shared" si="0"/>
        <v>0.51878499908381281</v>
      </c>
      <c r="AI7" s="25">
        <f t="shared" ref="AI7:AI11" si="2">-J5*LN(AE7)-(1-J5)*LN(1-AE7)</f>
        <v>0.73144112139372264</v>
      </c>
      <c r="AM7" s="26">
        <f t="array" ref="AM7:AR12">MMULT(Z15:AC20,TRANSPOSE(M27:P32))</f>
        <v>-2.9976304324806247E-2</v>
      </c>
      <c r="AN7" s="26">
        <v>-5.6954061483517227E-2</v>
      </c>
      <c r="AO7" s="26">
        <v>-4.7547639699892397E-2</v>
      </c>
      <c r="AP7" s="26">
        <v>7.9720448575140601E-2</v>
      </c>
      <c r="AQ7" s="26">
        <v>-0.13669250306761005</v>
      </c>
      <c r="AR7" s="26">
        <v>2.1915210766319748E-2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1.4094924377979021</v>
      </c>
      <c r="S8" s="18">
        <v>-1.935551550247089</v>
      </c>
      <c r="T8" s="18">
        <v>1.3823438753017552</v>
      </c>
      <c r="U8" s="18">
        <v>-1.0119040537488724</v>
      </c>
      <c r="V8" s="18">
        <v>1.318645872914427</v>
      </c>
      <c r="W8" s="18">
        <v>-2.6946033835044254</v>
      </c>
      <c r="X8" s="18"/>
      <c r="Z8">
        <v>-1.5097233140828741</v>
      </c>
      <c r="AA8">
        <v>-0.85847428352285071</v>
      </c>
      <c r="AB8">
        <v>0.5343964641075466</v>
      </c>
      <c r="AC8">
        <v>1.9483994919294212</v>
      </c>
      <c r="AE8" s="25">
        <f t="shared" si="1"/>
        <v>0.52861827665770544</v>
      </c>
      <c r="AG8" s="25">
        <f t="shared" si="0"/>
        <v>-0.47138172334229456</v>
      </c>
      <c r="AI8" s="25">
        <f t="shared" si="2"/>
        <v>0.63748870181809725</v>
      </c>
      <c r="AM8" s="26">
        <v>3.3074082335815547E-2</v>
      </c>
      <c r="AN8" s="26">
        <v>6.2839744968365863E-2</v>
      </c>
      <c r="AO8" s="26">
        <v>5.2461255172358889E-2</v>
      </c>
      <c r="AP8" s="26">
        <v>-8.7958830796911136E-2</v>
      </c>
      <c r="AQ8" s="26">
        <v>0.1508184281878141</v>
      </c>
      <c r="AR8" s="26">
        <v>-2.4179948183011835E-2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/>
      <c r="M9" s="18">
        <f t="array" ref="M9:P14">MMULT(C4:H9,C13:F18)</f>
        <v>-0.24038233994973934</v>
      </c>
      <c r="N9" s="18">
        <v>-0.33033693505616335</v>
      </c>
      <c r="O9" s="18">
        <v>-0.87893546841026049</v>
      </c>
      <c r="P9" s="18">
        <v>-1.5573674957411163</v>
      </c>
      <c r="Q9" s="18"/>
      <c r="R9" s="18">
        <v>0.70501602386112794</v>
      </c>
      <c r="S9" s="18">
        <v>0.11987685758220074</v>
      </c>
      <c r="T9" s="18">
        <v>0.67493857814750535</v>
      </c>
      <c r="U9" s="18">
        <v>0.20199261128465124</v>
      </c>
      <c r="V9" s="18">
        <v>0.75830017877279865</v>
      </c>
      <c r="W9" s="18">
        <v>-0.13008038940041566</v>
      </c>
      <c r="X9" s="18"/>
      <c r="Z9">
        <v>-1.7050400529240548</v>
      </c>
      <c r="AA9">
        <v>-0.57826219152480574</v>
      </c>
      <c r="AB9">
        <v>0.65979147980549957</v>
      </c>
      <c r="AC9">
        <v>1.6985469767723695</v>
      </c>
      <c r="AE9" s="25">
        <f t="shared" si="1"/>
        <v>0.5187502561857501</v>
      </c>
      <c r="AG9" s="25">
        <f t="shared" si="0"/>
        <v>0.5187502561857501</v>
      </c>
      <c r="AI9" s="25">
        <f t="shared" si="2"/>
        <v>0.731368925714311</v>
      </c>
      <c r="AM9" s="26">
        <v>-3.0051982915764719E-2</v>
      </c>
      <c r="AN9" s="26">
        <v>-5.7097848491939607E-2</v>
      </c>
      <c r="AO9" s="26">
        <v>-4.7667679126263796E-2</v>
      </c>
      <c r="AP9" s="26">
        <v>7.9921711918125027E-2</v>
      </c>
      <c r="AQ9" s="26">
        <v>-0.13703759884441546</v>
      </c>
      <c r="AR9" s="26">
        <v>2.1970538209402091E-2</v>
      </c>
    </row>
    <row r="10" spans="2:46" x14ac:dyDescent="0.3">
      <c r="L10" s="18"/>
      <c r="M10" s="18">
        <v>-0.5281099293374707</v>
      </c>
      <c r="N10" s="18">
        <v>-0.34288883151423971</v>
      </c>
      <c r="O10" s="18">
        <v>2.129176381090129</v>
      </c>
      <c r="P10" s="18">
        <v>0.48386435522461374</v>
      </c>
      <c r="Q10" s="18"/>
      <c r="R10" s="18">
        <v>1.1174500330147301</v>
      </c>
      <c r="S10" s="18">
        <v>-2.0950781867436881</v>
      </c>
      <c r="T10" s="18">
        <v>1.1003910266304606</v>
      </c>
      <c r="U10" s="18">
        <v>-1.1424223496161616</v>
      </c>
      <c r="V10" s="18">
        <v>1.052756571783636</v>
      </c>
      <c r="W10" s="18">
        <v>-2.9269978594660926</v>
      </c>
      <c r="X10" s="18"/>
      <c r="Z10">
        <v>-1.5132194282445639</v>
      </c>
      <c r="AA10">
        <v>-0.84931815488424511</v>
      </c>
      <c r="AB10">
        <v>0.53729756977747833</v>
      </c>
      <c r="AC10">
        <v>1.9383125172335911</v>
      </c>
      <c r="AE10" s="25">
        <f t="shared" si="1"/>
        <v>0.52823804617424552</v>
      </c>
      <c r="AG10" s="25">
        <f t="shared" si="0"/>
        <v>-0.47176195382575448</v>
      </c>
      <c r="AI10" s="25">
        <f t="shared" si="2"/>
        <v>0.63820825184897845</v>
      </c>
      <c r="AM10" s="26">
        <v>3.3071867373021258E-2</v>
      </c>
      <c r="AN10" s="26">
        <v>6.2835536606795084E-2</v>
      </c>
      <c r="AO10" s="26">
        <v>5.2457741855582274E-2</v>
      </c>
      <c r="AP10" s="26">
        <v>-8.795294021661787E-2</v>
      </c>
      <c r="AQ10" s="26">
        <v>0.15080832791643806</v>
      </c>
      <c r="AR10" s="26">
        <v>-2.4178328858096121E-2</v>
      </c>
    </row>
    <row r="11" spans="2:46" x14ac:dyDescent="0.3">
      <c r="L11" s="18"/>
      <c r="M11" s="18">
        <v>-0.21316177038752127</v>
      </c>
      <c r="N11" s="18">
        <v>-0.24499509199308367</v>
      </c>
      <c r="O11" s="18">
        <v>-0.74150385480640346</v>
      </c>
      <c r="P11" s="18">
        <v>-1.4071031658771629</v>
      </c>
      <c r="Q11" s="18"/>
      <c r="R11" s="18">
        <v>1.5811507753609289</v>
      </c>
      <c r="S11" s="18">
        <v>0.54812547958680491</v>
      </c>
      <c r="T11" s="18">
        <v>1.4902287767920133</v>
      </c>
      <c r="U11" s="18">
        <v>0.63494750620281459</v>
      </c>
      <c r="V11" s="18">
        <v>1.6646234534492286</v>
      </c>
      <c r="W11" s="18">
        <v>0.1304740125380941</v>
      </c>
      <c r="X11" s="18"/>
      <c r="Z11">
        <v>-1.6586330961884639</v>
      </c>
      <c r="AA11">
        <v>-0.64337877291661427</v>
      </c>
      <c r="AB11">
        <v>0.63102734707657526</v>
      </c>
      <c r="AC11">
        <v>1.7576595762296887</v>
      </c>
      <c r="AE11" s="25">
        <f t="shared" si="1"/>
        <v>0.52165520806759236</v>
      </c>
      <c r="AG11" s="25">
        <f t="shared" si="0"/>
        <v>0.52165520806759236</v>
      </c>
      <c r="AI11" s="25">
        <f t="shared" si="2"/>
        <v>0.73742348448405914</v>
      </c>
      <c r="AM11" s="26">
        <v>-3.0076223736795971E-2</v>
      </c>
      <c r="AN11" s="26">
        <v>-5.7143905310568011E-2</v>
      </c>
      <c r="AO11" s="26">
        <v>-4.7706129290498112E-2</v>
      </c>
      <c r="AP11" s="26">
        <v>7.9986179142153557E-2</v>
      </c>
      <c r="AQ11" s="26">
        <v>-0.13714813743740817</v>
      </c>
      <c r="AR11" s="26">
        <v>2.1988260297364892E-2</v>
      </c>
    </row>
    <row r="12" spans="2:46" x14ac:dyDescent="0.3">
      <c r="B12" t="s">
        <v>2</v>
      </c>
      <c r="L12" s="18"/>
      <c r="M12" s="18">
        <v>-0.40980112618693071</v>
      </c>
      <c r="N12" s="18">
        <v>-0.26827207831083022</v>
      </c>
      <c r="O12" s="18">
        <v>1.2329906508359949</v>
      </c>
      <c r="P12" s="18">
        <v>0.20863309052747422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0.68519601910441974</v>
      </c>
      <c r="AM12" s="26">
        <v>3.3257066671172453E-2</v>
      </c>
      <c r="AN12" s="26">
        <v>6.3187409609527734E-2</v>
      </c>
      <c r="AO12" s="26">
        <v>5.275150019903041E-2</v>
      </c>
      <c r="AP12" s="26">
        <v>-8.8445468280265338E-2</v>
      </c>
      <c r="AQ12" s="26">
        <v>0.15165284014704317</v>
      </c>
      <c r="AR12" s="26">
        <v>-2.4313725190104885E-2</v>
      </c>
    </row>
    <row r="13" spans="2:46" x14ac:dyDescent="0.3">
      <c r="C13" s="22">
        <f>'Forth Iteration'!AK48</f>
        <v>0.24812417722417066</v>
      </c>
      <c r="D13" s="22">
        <f>'Forth Iteration'!AL48</f>
        <v>-6.4820417227425778E-2</v>
      </c>
      <c r="E13" s="22">
        <f>'Forth Iteration'!AM48</f>
        <v>0.32291657493678388</v>
      </c>
      <c r="F13" s="22">
        <f>'Forth Iteration'!AN48</f>
        <v>0.76785430320420989</v>
      </c>
      <c r="L13" s="18"/>
      <c r="M13" s="18">
        <v>-0.23845420169302667</v>
      </c>
      <c r="N13" s="18">
        <v>-0.14593465582799137</v>
      </c>
      <c r="O13" s="18">
        <v>-0.67241430512216738</v>
      </c>
      <c r="P13" s="18">
        <v>-1.4193475207433486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'Forth Iteration'!AK49</f>
        <v>-0.10351897201857932</v>
      </c>
      <c r="D14" s="22">
        <f>'Forth Iteration'!AL49</f>
        <v>-0.17093347074809914</v>
      </c>
      <c r="E14" s="22">
        <f>'Forth Iteration'!AM49</f>
        <v>0.81342776778597337</v>
      </c>
      <c r="F14" s="22">
        <f>'Forth Iteration'!AN49</f>
        <v>0.25497388261729731</v>
      </c>
      <c r="L14" s="18"/>
      <c r="M14" s="18">
        <v>-0.6086133642005942</v>
      </c>
      <c r="N14" s="18">
        <v>-0.70474091321396659</v>
      </c>
      <c r="O14" s="18">
        <v>2.7685454659498285</v>
      </c>
      <c r="P14" s="18">
        <v>0.67800988809095908</v>
      </c>
      <c r="Q14" s="18"/>
      <c r="R14" s="23">
        <f>R6/SQRT(4)</f>
        <v>0.87904335672777334</v>
      </c>
      <c r="S14" s="23">
        <f t="shared" ref="S14:W19" si="3">S6/SQRT(4)</f>
        <v>-1.0163208819094305</v>
      </c>
      <c r="T14" s="23">
        <f t="shared" si="3"/>
        <v>0.86165229793573606</v>
      </c>
      <c r="U14" s="23">
        <f t="shared" si="3"/>
        <v>-0.51614529179208657</v>
      </c>
      <c r="V14" s="23">
        <f t="shared" si="3"/>
        <v>0.82084212407991541</v>
      </c>
      <c r="W14" s="23">
        <f t="shared" si="3"/>
        <v>-1.4110448088805538</v>
      </c>
      <c r="X14" s="18"/>
      <c r="Z14" s="1" t="s">
        <v>83</v>
      </c>
    </row>
    <row r="15" spans="2:46" x14ac:dyDescent="0.3">
      <c r="C15" s="22">
        <f>'Forth Iteration'!AK50</f>
        <v>-0.23103001939200038</v>
      </c>
      <c r="D15" s="22">
        <f>'Forth Iteration'!AL50</f>
        <v>0.26588533344719711</v>
      </c>
      <c r="E15" s="22">
        <f>'Forth Iteration'!AM50</f>
        <v>-0.22664040820164089</v>
      </c>
      <c r="F15" s="22">
        <f>'Forth Iteration'!AN50</f>
        <v>-0.25673719342918233</v>
      </c>
      <c r="L15" s="18"/>
      <c r="M15" s="18"/>
      <c r="N15" s="18"/>
      <c r="O15" s="18"/>
      <c r="P15" s="18"/>
      <c r="Q15" s="18"/>
      <c r="R15" s="23">
        <f t="shared" ref="R15:V19" si="4">R7/SQRT(4)</f>
        <v>0.34225986962213722</v>
      </c>
      <c r="S15" s="23">
        <f t="shared" si="4"/>
        <v>9.38674109946942E-2</v>
      </c>
      <c r="T15" s="23">
        <f t="shared" si="4"/>
        <v>0.31913202544981972</v>
      </c>
      <c r="U15" s="23">
        <f t="shared" si="4"/>
        <v>0.13869780712999391</v>
      </c>
      <c r="V15" s="23">
        <f t="shared" si="4"/>
        <v>0.39595566252414033</v>
      </c>
      <c r="W15" s="23">
        <f t="shared" si="3"/>
        <v>-0.10896907245975485</v>
      </c>
      <c r="X15" s="18"/>
      <c r="Z15" s="26">
        <f t="shared" ref="Z15:Z20" si="5">AG6</f>
        <v>-0.47019466341596505</v>
      </c>
      <c r="AA15" s="26">
        <f>Z15</f>
        <v>-0.47019466341596505</v>
      </c>
      <c r="AB15" s="26">
        <f>AA15</f>
        <v>-0.47019466341596505</v>
      </c>
      <c r="AC15" s="26">
        <f>AB15</f>
        <v>-0.47019466341596505</v>
      </c>
      <c r="AF15">
        <f t="shared" ref="AF15:AK20" si="6">R29*AM7</f>
        <v>-8.7508597193711336E-3</v>
      </c>
      <c r="AG15">
        <f t="shared" si="6"/>
        <v>-2.4983374754369409E-3</v>
      </c>
      <c r="AH15">
        <f t="shared" si="6"/>
        <v>-1.3641079972534978E-2</v>
      </c>
      <c r="AI15">
        <f t="shared" si="6"/>
        <v>5.7665974458614103E-3</v>
      </c>
      <c r="AJ15">
        <f t="shared" si="6"/>
        <v>-3.7647908546716215E-2</v>
      </c>
      <c r="AK15">
        <f t="shared" si="6"/>
        <v>6.4780699198292247E-4</v>
      </c>
      <c r="AM15">
        <f>SUM(AF15:AK15)</f>
        <v>-5.6123781276214937E-2</v>
      </c>
      <c r="AO15">
        <f t="shared" ref="AO15:AT20" si="7">AM7-$AM15</f>
        <v>2.6147476951408691E-2</v>
      </c>
      <c r="AP15">
        <f t="shared" si="7"/>
        <v>-8.3028020730228913E-4</v>
      </c>
      <c r="AQ15">
        <f t="shared" si="7"/>
        <v>8.5761415763225407E-3</v>
      </c>
      <c r="AR15">
        <f t="shared" si="7"/>
        <v>0.13584422985135552</v>
      </c>
      <c r="AS15">
        <f t="shared" si="7"/>
        <v>-8.0568721791395112E-2</v>
      </c>
      <c r="AT15">
        <f t="shared" si="7"/>
        <v>7.8038992042534686E-2</v>
      </c>
    </row>
    <row r="16" spans="2:46" x14ac:dyDescent="0.3">
      <c r="C16" s="22">
        <f>'Forth Iteration'!AK51</f>
        <v>0.12164181088574512</v>
      </c>
      <c r="D16" s="22">
        <f>'Forth Iteration'!AL51</f>
        <v>-0.95630787889589064</v>
      </c>
      <c r="E16" s="22">
        <f>'Forth Iteration'!AM51</f>
        <v>-0.86175065664141293</v>
      </c>
      <c r="F16" s="22">
        <f>'Forth Iteration'!AN51</f>
        <v>-0.28382816316349274</v>
      </c>
      <c r="L16" s="19" t="s">
        <v>3</v>
      </c>
      <c r="M16" s="20"/>
      <c r="N16" s="18"/>
      <c r="O16" s="18"/>
      <c r="P16" s="18"/>
      <c r="Q16" s="18"/>
      <c r="R16" s="23">
        <f t="shared" si="4"/>
        <v>0.70474621889895106</v>
      </c>
      <c r="S16" s="23">
        <f t="shared" si="4"/>
        <v>-0.96777577512354451</v>
      </c>
      <c r="T16" s="23">
        <f t="shared" si="4"/>
        <v>0.69117193765087759</v>
      </c>
      <c r="U16" s="23">
        <f t="shared" si="4"/>
        <v>-0.50595202687443619</v>
      </c>
      <c r="V16" s="23">
        <f t="shared" si="4"/>
        <v>0.65932293645721352</v>
      </c>
      <c r="W16" s="23">
        <f t="shared" si="3"/>
        <v>-1.3473016917522127</v>
      </c>
      <c r="X16" s="18"/>
      <c r="Z16" s="26">
        <f t="shared" si="5"/>
        <v>0.51878499908381281</v>
      </c>
      <c r="AA16" s="26">
        <f t="shared" ref="AA16:AC20" si="8">Z16</f>
        <v>0.51878499908381281</v>
      </c>
      <c r="AB16" s="26">
        <f t="shared" si="8"/>
        <v>0.51878499908381281</v>
      </c>
      <c r="AC16" s="26">
        <f t="shared" si="8"/>
        <v>0.51878499908381281</v>
      </c>
      <c r="AF16">
        <f t="shared" si="6"/>
        <v>6.2818537687962753E-3</v>
      </c>
      <c r="AG16">
        <f t="shared" si="6"/>
        <v>9.3101988954022823E-3</v>
      </c>
      <c r="AH16">
        <f t="shared" si="6"/>
        <v>9.7363101835566315E-3</v>
      </c>
      <c r="AI16">
        <f t="shared" si="6"/>
        <v>-1.3629301116837505E-2</v>
      </c>
      <c r="AJ16">
        <f t="shared" si="6"/>
        <v>3.0225550272711316E-2</v>
      </c>
      <c r="AK16">
        <f t="shared" si="6"/>
        <v>-2.9247526660747983E-3</v>
      </c>
      <c r="AM16">
        <f>SUM(AF16:AK16)</f>
        <v>3.8999859337554205E-2</v>
      </c>
      <c r="AO16">
        <f t="shared" si="7"/>
        <v>-5.925777001738658E-3</v>
      </c>
      <c r="AP16">
        <f t="shared" si="7"/>
        <v>2.3839885630811658E-2</v>
      </c>
      <c r="AQ16">
        <f t="shared" si="7"/>
        <v>1.3461395834804685E-2</v>
      </c>
      <c r="AR16">
        <f t="shared" si="7"/>
        <v>-0.12695869013446534</v>
      </c>
      <c r="AS16">
        <f t="shared" si="7"/>
        <v>0.1118185688502599</v>
      </c>
      <c r="AT16">
        <f t="shared" si="7"/>
        <v>-6.3179807520566039E-2</v>
      </c>
    </row>
    <row r="17" spans="2:46" x14ac:dyDescent="0.3">
      <c r="C17" s="22">
        <f>'Forth Iteration'!AK52</f>
        <v>-0.50669724360714108</v>
      </c>
      <c r="D17" s="22">
        <f>'Forth Iteration'!AL52</f>
        <v>0.16189585332357581</v>
      </c>
      <c r="E17" s="22">
        <f>'Forth Iteration'!AM52</f>
        <v>-0.45506376097348322</v>
      </c>
      <c r="F17" s="22">
        <f>'Forth Iteration'!AN52</f>
        <v>-0.69902609228198986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si="4"/>
        <v>0.35250801193056397</v>
      </c>
      <c r="S17" s="23">
        <f t="shared" si="4"/>
        <v>5.9938428791100368E-2</v>
      </c>
      <c r="T17" s="23">
        <f t="shared" si="4"/>
        <v>0.33746928907375268</v>
      </c>
      <c r="U17" s="23">
        <f t="shared" si="4"/>
        <v>0.10099630564232562</v>
      </c>
      <c r="V17" s="23">
        <f t="shared" si="4"/>
        <v>0.37915008938639932</v>
      </c>
      <c r="W17" s="23">
        <f t="shared" si="3"/>
        <v>-6.5040194700207832E-2</v>
      </c>
      <c r="X17" s="18"/>
      <c r="Z17" s="26">
        <f t="shared" si="5"/>
        <v>-0.47138172334229456</v>
      </c>
      <c r="AA17" s="26">
        <f t="shared" si="8"/>
        <v>-0.47138172334229456</v>
      </c>
      <c r="AB17" s="26">
        <f t="shared" si="8"/>
        <v>-0.47138172334229456</v>
      </c>
      <c r="AC17" s="26">
        <f t="shared" si="8"/>
        <v>-0.47138172334229456</v>
      </c>
      <c r="AF17">
        <f t="shared" si="6"/>
        <v>-8.4502465356847585E-3</v>
      </c>
      <c r="AG17">
        <f t="shared" si="6"/>
        <v>-3.0147334340658552E-3</v>
      </c>
      <c r="AH17">
        <f t="shared" si="6"/>
        <v>-1.322284838199924E-2</v>
      </c>
      <c r="AI17">
        <f t="shared" si="6"/>
        <v>6.6967094539647403E-3</v>
      </c>
      <c r="AJ17">
        <f t="shared" si="6"/>
        <v>-3.6822129906950059E-2</v>
      </c>
      <c r="AK17">
        <f t="shared" si="6"/>
        <v>7.9367711521788949E-4</v>
      </c>
      <c r="AM17">
        <f t="shared" ref="AM17:AM20" si="9">SUM(AF17:AK17)</f>
        <v>-5.4019571689517286E-2</v>
      </c>
      <c r="AO17">
        <f t="shared" si="7"/>
        <v>2.3967588773752567E-2</v>
      </c>
      <c r="AP17">
        <f t="shared" si="7"/>
        <v>-3.0782768024223209E-3</v>
      </c>
      <c r="AQ17">
        <f t="shared" si="7"/>
        <v>6.3518925632534903E-3</v>
      </c>
      <c r="AR17">
        <f t="shared" si="7"/>
        <v>0.13394128360764232</v>
      </c>
      <c r="AS17">
        <f t="shared" si="7"/>
        <v>-8.3018027154898172E-2</v>
      </c>
      <c r="AT17">
        <f t="shared" si="7"/>
        <v>7.5990109898919384E-2</v>
      </c>
    </row>
    <row r="18" spans="2:46" x14ac:dyDescent="0.3">
      <c r="C18" s="22">
        <f>'Forth Iteration'!AK53</f>
        <v>0.73254269639285896</v>
      </c>
      <c r="D18" s="22">
        <f>'Forth Iteration'!AL53</f>
        <v>-0.10811596667642419</v>
      </c>
      <c r="E18" s="22">
        <f>'Forth Iteration'!AM53</f>
        <v>3.2712379026516795E-2</v>
      </c>
      <c r="F18" s="22">
        <f>'Forth Iteration'!AN53</f>
        <v>-0.7052483322819898</v>
      </c>
      <c r="L18" s="18"/>
      <c r="M18" s="18">
        <f t="array" ref="M18:P23">MMULT(C4:H9,C20:F25)</f>
        <v>-0.85501148893260892</v>
      </c>
      <c r="N18" s="18">
        <v>-2.9621764738461844</v>
      </c>
      <c r="O18" s="18">
        <v>-0.3256116431826247</v>
      </c>
      <c r="P18" s="18">
        <v>-0.18483057612465315</v>
      </c>
      <c r="Q18" s="18"/>
      <c r="R18" s="23">
        <f t="shared" si="4"/>
        <v>0.55872501650736506</v>
      </c>
      <c r="S18" s="23">
        <f t="shared" si="4"/>
        <v>-1.047539093371844</v>
      </c>
      <c r="T18" s="23">
        <f t="shared" si="4"/>
        <v>0.55019551331523031</v>
      </c>
      <c r="U18" s="23">
        <f t="shared" si="4"/>
        <v>-0.57121117480808081</v>
      </c>
      <c r="V18" s="23">
        <f t="shared" si="4"/>
        <v>0.52637828589181801</v>
      </c>
      <c r="W18" s="23">
        <f t="shared" si="3"/>
        <v>-1.4634989297330463</v>
      </c>
      <c r="X18" s="18"/>
      <c r="Z18" s="26">
        <f t="shared" si="5"/>
        <v>0.5187502561857501</v>
      </c>
      <c r="AA18" s="26">
        <f t="shared" si="8"/>
        <v>0.5187502561857501</v>
      </c>
      <c r="AB18" s="26">
        <f t="shared" si="8"/>
        <v>0.5187502561857501</v>
      </c>
      <c r="AC18" s="26">
        <f t="shared" si="8"/>
        <v>0.5187502561857501</v>
      </c>
      <c r="AF18">
        <f t="shared" si="6"/>
        <v>6.3664617374445736E-3</v>
      </c>
      <c r="AG18">
        <f t="shared" si="6"/>
        <v>9.0278303313432364E-3</v>
      </c>
      <c r="AH18">
        <f t="shared" si="6"/>
        <v>9.9475876141309656E-3</v>
      </c>
      <c r="AI18">
        <f t="shared" si="6"/>
        <v>-1.3166175256252017E-2</v>
      </c>
      <c r="AJ18">
        <f t="shared" si="6"/>
        <v>2.9815029790826043E-2</v>
      </c>
      <c r="AK18">
        <f t="shared" si="6"/>
        <v>-3.0656799523612762E-3</v>
      </c>
      <c r="AM18">
        <f t="shared" si="9"/>
        <v>3.8925054265131528E-2</v>
      </c>
      <c r="AO18">
        <f t="shared" si="7"/>
        <v>-5.8531868921102709E-3</v>
      </c>
      <c r="AP18">
        <f t="shared" si="7"/>
        <v>2.3910482341663555E-2</v>
      </c>
      <c r="AQ18">
        <f t="shared" si="7"/>
        <v>1.3532687590450745E-2</v>
      </c>
      <c r="AR18">
        <f t="shared" si="7"/>
        <v>-0.12687799448174941</v>
      </c>
      <c r="AS18">
        <f t="shared" si="7"/>
        <v>0.11188327365130653</v>
      </c>
      <c r="AT18">
        <f t="shared" si="7"/>
        <v>-6.3103383123227649E-2</v>
      </c>
    </row>
    <row r="19" spans="2:46" x14ac:dyDescent="0.3">
      <c r="B19" t="s">
        <v>8</v>
      </c>
      <c r="C19" t="s">
        <v>9</v>
      </c>
      <c r="L19" s="18"/>
      <c r="M19" s="18">
        <v>-0.84896128427583695</v>
      </c>
      <c r="N19" s="18">
        <v>-1.0365934219479982</v>
      </c>
      <c r="O19" s="18">
        <v>-0.76362928286416487</v>
      </c>
      <c r="P19" s="18">
        <v>2.0870623202809009</v>
      </c>
      <c r="Q19" s="18"/>
      <c r="R19" s="23">
        <f t="shared" si="4"/>
        <v>0.79057538768046443</v>
      </c>
      <c r="S19" s="23">
        <f t="shared" si="4"/>
        <v>0.27406273979340245</v>
      </c>
      <c r="T19" s="23">
        <f t="shared" si="4"/>
        <v>0.74511438839600663</v>
      </c>
      <c r="U19" s="23">
        <f t="shared" si="4"/>
        <v>0.3174737531014073</v>
      </c>
      <c r="V19" s="23">
        <f t="shared" si="4"/>
        <v>0.83231172672461429</v>
      </c>
      <c r="W19" s="23">
        <f t="shared" si="3"/>
        <v>6.5237006269047049E-2</v>
      </c>
      <c r="X19" s="18"/>
      <c r="Z19" s="26">
        <f t="shared" si="5"/>
        <v>-0.47176195382575448</v>
      </c>
      <c r="AA19" s="26">
        <f t="shared" si="8"/>
        <v>-0.47176195382575448</v>
      </c>
      <c r="AB19" s="26">
        <f t="shared" si="8"/>
        <v>-0.47176195382575448</v>
      </c>
      <c r="AC19" s="26">
        <f t="shared" si="8"/>
        <v>-0.47176195382575448</v>
      </c>
      <c r="AF19">
        <f t="shared" si="6"/>
        <v>-8.3181654258362749E-3</v>
      </c>
      <c r="AG19">
        <f t="shared" si="6"/>
        <v>-3.1708998413132578E-3</v>
      </c>
      <c r="AH19">
        <f t="shared" si="6"/>
        <v>-1.3081998977579544E-2</v>
      </c>
      <c r="AI19">
        <f t="shared" si="6"/>
        <v>7.1465122893064753E-3</v>
      </c>
      <c r="AJ19">
        <f t="shared" si="6"/>
        <v>-3.672367654367064E-2</v>
      </c>
      <c r="AK19">
        <f t="shared" si="6"/>
        <v>8.0492314362798486E-4</v>
      </c>
      <c r="AM19">
        <f t="shared" si="9"/>
        <v>-5.3343305355465262E-2</v>
      </c>
      <c r="AO19">
        <f t="shared" si="7"/>
        <v>2.3267081618669291E-2</v>
      </c>
      <c r="AP19">
        <f t="shared" si="7"/>
        <v>-3.8005999551027486E-3</v>
      </c>
      <c r="AQ19">
        <f t="shared" si="7"/>
        <v>5.6371760649671504E-3</v>
      </c>
      <c r="AR19">
        <f t="shared" si="7"/>
        <v>0.13332948449761883</v>
      </c>
      <c r="AS19">
        <f t="shared" si="7"/>
        <v>-8.3804832081942907E-2</v>
      </c>
      <c r="AT19">
        <f t="shared" si="7"/>
        <v>7.5331565652830154E-2</v>
      </c>
    </row>
    <row r="20" spans="2:46" x14ac:dyDescent="0.3">
      <c r="C20" s="22">
        <f>'Forth Iteration'!AK56</f>
        <v>-0.27818169664429188</v>
      </c>
      <c r="D20" s="22">
        <f>'Forth Iteration'!AL56</f>
        <v>5.2116092295684723E-2</v>
      </c>
      <c r="E20" s="22">
        <f>'Forth Iteration'!AM56</f>
        <v>-0.54967518266261695</v>
      </c>
      <c r="F20" s="22">
        <f>'Forth Iteration'!AN56</f>
        <v>0.19999919948869269</v>
      </c>
      <c r="L20" s="18"/>
      <c r="M20" s="18">
        <v>-0.90918197625113051</v>
      </c>
      <c r="N20" s="18">
        <v>-2.8556809477846832</v>
      </c>
      <c r="O20" s="18">
        <v>-0.34838515472963105</v>
      </c>
      <c r="P20" s="18">
        <v>-0.16387162614416062</v>
      </c>
      <c r="Q20" s="18"/>
      <c r="R20" s="18"/>
      <c r="S20" s="18"/>
      <c r="T20" s="18"/>
      <c r="U20" s="18"/>
      <c r="V20" s="18"/>
      <c r="W20" s="18"/>
      <c r="X20" s="18"/>
      <c r="Z20" s="26">
        <f t="shared" si="5"/>
        <v>0.52165520806759236</v>
      </c>
      <c r="AA20" s="26">
        <f t="shared" si="8"/>
        <v>0.52165520806759236</v>
      </c>
      <c r="AB20" s="26">
        <f t="shared" si="8"/>
        <v>0.52165520806759236</v>
      </c>
      <c r="AC20" s="26">
        <f t="shared" si="8"/>
        <v>0.52165520806759236</v>
      </c>
      <c r="AF20">
        <f t="shared" si="6"/>
        <v>7.0729598505787309E-3</v>
      </c>
      <c r="AG20">
        <f t="shared" si="6"/>
        <v>8.0173198601407678E-3</v>
      </c>
      <c r="AH20">
        <f t="shared" si="6"/>
        <v>1.0720341141940324E-2</v>
      </c>
      <c r="AI20">
        <f t="shared" si="6"/>
        <v>-1.1719994507605412E-2</v>
      </c>
      <c r="AJ20">
        <f t="shared" si="6"/>
        <v>3.3627428787932921E-2</v>
      </c>
      <c r="AK20">
        <f t="shared" si="6"/>
        <v>-2.5035616993980365E-3</v>
      </c>
      <c r="AM20">
        <f t="shared" si="9"/>
        <v>4.5214493433589298E-2</v>
      </c>
      <c r="AO20">
        <f t="shared" si="7"/>
        <v>-1.1957426762416845E-2</v>
      </c>
      <c r="AP20">
        <f t="shared" si="7"/>
        <v>1.7972916175938436E-2</v>
      </c>
      <c r="AQ20">
        <f t="shared" si="7"/>
        <v>7.5370067654411121E-3</v>
      </c>
      <c r="AR20">
        <f t="shared" si="7"/>
        <v>-0.13365996171385464</v>
      </c>
      <c r="AS20">
        <f t="shared" si="7"/>
        <v>0.10643834671345387</v>
      </c>
      <c r="AT20">
        <f t="shared" si="7"/>
        <v>-6.9528218623694182E-2</v>
      </c>
    </row>
    <row r="21" spans="2:46" x14ac:dyDescent="0.3">
      <c r="C21" s="22">
        <f>'Forth Iteration'!AK57</f>
        <v>-0.27928754427435126</v>
      </c>
      <c r="D21" s="22">
        <f>'Forth Iteration'!AL57</f>
        <v>-0.13419798421327334</v>
      </c>
      <c r="E21" s="22">
        <f>'Forth Iteration'!AM57</f>
        <v>-0.38781563407353886</v>
      </c>
      <c r="F21" s="22">
        <f>'Forth Iteration'!AN57</f>
        <v>0.88638663804274676</v>
      </c>
      <c r="L21" s="18"/>
      <c r="M21" s="18">
        <v>-0.5626027521052025</v>
      </c>
      <c r="N21" s="18">
        <v>-1.0000670839774592</v>
      </c>
      <c r="O21" s="18">
        <v>-0.44610674177059256</v>
      </c>
      <c r="P21" s="18">
        <v>1.2135789967214907</v>
      </c>
      <c r="Q21" s="18"/>
      <c r="R21" s="23">
        <f>EXP(R14)</f>
        <v>2.4085944382684938</v>
      </c>
      <c r="S21" s="23">
        <f t="shared" ref="S21:W21" si="10">EXP(S14)</f>
        <v>0.36192405502685715</v>
      </c>
      <c r="T21" s="23">
        <f t="shared" si="10"/>
        <v>2.3670685668381024</v>
      </c>
      <c r="U21" s="23">
        <f t="shared" si="10"/>
        <v>0.59681667381065595</v>
      </c>
      <c r="V21" s="23">
        <f t="shared" si="10"/>
        <v>2.2724126854336304</v>
      </c>
      <c r="W21" s="23">
        <f t="shared" si="10"/>
        <v>0.24388833329320231</v>
      </c>
      <c r="X21" s="18"/>
      <c r="Z21" s="1" t="s">
        <v>81</v>
      </c>
    </row>
    <row r="22" spans="2:46" x14ac:dyDescent="0.3">
      <c r="C22" s="22">
        <f>'Forth Iteration'!AK58</f>
        <v>-1.964149870601126E-2</v>
      </c>
      <c r="D22" s="22">
        <f>'Forth Iteration'!AL58</f>
        <v>-0.53605207682110734</v>
      </c>
      <c r="E22" s="22">
        <f>'Forth Iteration'!AM58</f>
        <v>0.46720238094495048</v>
      </c>
      <c r="F22" s="22">
        <f>'Forth Iteration'!AN58</f>
        <v>-0.58394271256618213</v>
      </c>
      <c r="L22" s="18"/>
      <c r="M22" s="18">
        <v>-0.90447808929185403</v>
      </c>
      <c r="N22" s="18">
        <v>-2.7602152714966408</v>
      </c>
      <c r="O22" s="18">
        <v>-0.25482541061792119</v>
      </c>
      <c r="P22" s="18">
        <v>-0.18524050674345505</v>
      </c>
      <c r="Q22" s="18"/>
      <c r="R22" s="23">
        <f t="shared" ref="R22:W26" si="11">EXP(R15)</f>
        <v>1.4081261791893847</v>
      </c>
      <c r="S22" s="23">
        <f t="shared" si="11"/>
        <v>1.0984140986290214</v>
      </c>
      <c r="T22" s="23">
        <f t="shared" si="11"/>
        <v>1.3759329710842456</v>
      </c>
      <c r="U22" s="23">
        <f t="shared" si="11"/>
        <v>1.1487768953578583</v>
      </c>
      <c r="V22" s="23">
        <f t="shared" si="11"/>
        <v>1.4858034393168402</v>
      </c>
      <c r="W22" s="23">
        <f t="shared" si="11"/>
        <v>0.89675815159318317</v>
      </c>
      <c r="X22" s="18"/>
      <c r="Z22" s="26">
        <f t="shared" ref="Z22:AE27" si="12">R29*AO15/SQRT(4)</f>
        <v>3.8165629147939731E-3</v>
      </c>
      <c r="AA22" s="26">
        <f t="shared" si="12"/>
        <v>-1.8210467374808546E-5</v>
      </c>
      <c r="AB22" s="26">
        <f t="shared" si="12"/>
        <v>1.2302170395501538E-3</v>
      </c>
      <c r="AC22" s="26">
        <f t="shared" si="12"/>
        <v>4.9131621992661093E-3</v>
      </c>
      <c r="AD22" s="26">
        <f t="shared" si="12"/>
        <v>-1.1095136169347852E-2</v>
      </c>
      <c r="AE22" s="26">
        <f t="shared" si="12"/>
        <v>1.1534044831124218E-3</v>
      </c>
    </row>
    <row r="23" spans="2:46" x14ac:dyDescent="0.3">
      <c r="C23" s="22">
        <f>'Forth Iteration'!AK59</f>
        <v>0.10014706610173087</v>
      </c>
      <c r="D23" s="22">
        <f>'Forth Iteration'!AL59</f>
        <v>-0.98223138731407256</v>
      </c>
      <c r="E23" s="22">
        <f>'Forth Iteration'!AM59</f>
        <v>-0.64476430197030776</v>
      </c>
      <c r="F23" s="22">
        <f>'Forth Iteration'!AN59</f>
        <v>0.10786922954347598</v>
      </c>
      <c r="L23" s="18"/>
      <c r="M23" s="18">
        <v>-1.106747555972897</v>
      </c>
      <c r="N23" s="18">
        <v>-1.3675134298684226</v>
      </c>
      <c r="O23" s="18">
        <v>-1.2774894459402975</v>
      </c>
      <c r="P23" s="18">
        <v>2.9939646084678477</v>
      </c>
      <c r="Q23" s="18"/>
      <c r="R23" s="23">
        <f t="shared" si="11"/>
        <v>2.0233331360495495</v>
      </c>
      <c r="S23" s="23">
        <f t="shared" si="11"/>
        <v>0.37992714241790365</v>
      </c>
      <c r="T23" s="23">
        <f t="shared" si="11"/>
        <v>1.9960534131988232</v>
      </c>
      <c r="U23" s="23">
        <f t="shared" si="11"/>
        <v>0.60293129530879008</v>
      </c>
      <c r="V23" s="23">
        <f t="shared" si="11"/>
        <v>1.9334828004184301</v>
      </c>
      <c r="W23" s="23">
        <f t="shared" si="11"/>
        <v>0.25994071537574509</v>
      </c>
      <c r="X23" s="18"/>
      <c r="Z23" s="26">
        <f t="shared" si="12"/>
        <v>-5.6274977206408983E-4</v>
      </c>
      <c r="AA23" s="26">
        <f t="shared" si="12"/>
        <v>1.7660326038738165E-3</v>
      </c>
      <c r="AB23" s="26">
        <f t="shared" si="12"/>
        <v>1.2491535412247595E-3</v>
      </c>
      <c r="AC23" s="26">
        <f t="shared" si="12"/>
        <v>-9.8361824592526331E-3</v>
      </c>
      <c r="AD23" s="26">
        <f t="shared" si="12"/>
        <v>1.1204790471617059E-2</v>
      </c>
      <c r="AE23" s="26">
        <f t="shared" si="12"/>
        <v>-3.8210443853989142E-3</v>
      </c>
    </row>
    <row r="24" spans="2:46" x14ac:dyDescent="0.3">
      <c r="C24" s="22">
        <f>'Forth Iteration'!AK60</f>
        <v>0.36278684564699437</v>
      </c>
      <c r="D24" s="22">
        <f>'Forth Iteration'!AL60</f>
        <v>8.2085831589446406E-2</v>
      </c>
      <c r="E24" s="22">
        <f>'Forth Iteration'!AM60</f>
        <v>-2.9859179527524787E-2</v>
      </c>
      <c r="F24" s="22">
        <f>'Forth Iteration'!AN60</f>
        <v>-0.13731229628309108</v>
      </c>
      <c r="L24" s="18"/>
      <c r="M24" s="18"/>
      <c r="N24" s="18"/>
      <c r="O24" s="18"/>
      <c r="P24" s="18"/>
      <c r="Q24" s="18"/>
      <c r="R24" s="23">
        <f t="shared" si="11"/>
        <v>1.4226310537241895</v>
      </c>
      <c r="S24" s="23">
        <f t="shared" si="11"/>
        <v>1.0617711699982122</v>
      </c>
      <c r="T24" s="23">
        <f t="shared" si="11"/>
        <v>1.4013965695444046</v>
      </c>
      <c r="U24" s="23">
        <f t="shared" si="11"/>
        <v>1.1062725547893715</v>
      </c>
      <c r="V24" s="23">
        <f t="shared" si="11"/>
        <v>1.4610423062311795</v>
      </c>
      <c r="W24" s="23">
        <f t="shared" si="11"/>
        <v>0.93702979898859795</v>
      </c>
      <c r="X24" s="18"/>
      <c r="Z24" s="26">
        <f t="shared" si="12"/>
        <v>3.369695014332564E-3</v>
      </c>
      <c r="AA24" s="26">
        <f t="shared" si="12"/>
        <v>-8.1265618939056612E-5</v>
      </c>
      <c r="AB24" s="26">
        <f t="shared" si="12"/>
        <v>8.8099645128697696E-4</v>
      </c>
      <c r="AC24" s="26">
        <f t="shared" si="12"/>
        <v>5.6115280734374048E-3</v>
      </c>
      <c r="AD24" s="26">
        <f t="shared" si="12"/>
        <v>-1.11535104463812E-2</v>
      </c>
      <c r="AE24" s="26">
        <f t="shared" si="12"/>
        <v>1.3725565262633146E-3</v>
      </c>
    </row>
    <row r="25" spans="2:46" x14ac:dyDescent="0.3">
      <c r="C25" s="22">
        <f>'Forth Iteration'!AK61</f>
        <v>-0.74570744435300573</v>
      </c>
      <c r="D25" s="22">
        <f>'Forth Iteration'!AL61</f>
        <v>-0.36352040841055366</v>
      </c>
      <c r="E25" s="22">
        <f>'Forth Iteration'!AM61</f>
        <v>-0.2023544295275248</v>
      </c>
      <c r="F25" s="22">
        <f>'Forth Iteration'!AN61</f>
        <v>0.54180066371690905</v>
      </c>
      <c r="L25" s="19" t="s">
        <v>4</v>
      </c>
      <c r="M25" s="20"/>
      <c r="N25" s="18"/>
      <c r="O25" s="18"/>
      <c r="P25" s="18"/>
      <c r="Q25" s="18"/>
      <c r="R25" s="23">
        <f t="shared" si="11"/>
        <v>1.7484418440843139</v>
      </c>
      <c r="S25" s="23">
        <f t="shared" si="11"/>
        <v>0.35079997372938354</v>
      </c>
      <c r="T25" s="23">
        <f t="shared" si="11"/>
        <v>1.7335919250404044</v>
      </c>
      <c r="U25" s="23">
        <f t="shared" si="11"/>
        <v>0.5648409031646342</v>
      </c>
      <c r="V25" s="23">
        <f t="shared" si="11"/>
        <v>1.6927903903571213</v>
      </c>
      <c r="W25" s="23">
        <f t="shared" si="11"/>
        <v>0.23142511624383835</v>
      </c>
      <c r="X25" s="18"/>
      <c r="Z25" s="26">
        <f t="shared" si="12"/>
        <v>-5.6338050056905392E-4</v>
      </c>
      <c r="AA25" s="26">
        <f t="shared" si="12"/>
        <v>1.7176568338383047E-3</v>
      </c>
      <c r="AB25" s="26">
        <f t="shared" si="12"/>
        <v>1.2831051309002007E-3</v>
      </c>
      <c r="AC25" s="26">
        <f t="shared" si="12"/>
        <v>-9.4965438755898711E-3</v>
      </c>
      <c r="AD25" s="26">
        <f t="shared" si="12"/>
        <v>1.1059744455416262E-2</v>
      </c>
      <c r="AE25" s="26">
        <f t="shared" si="12"/>
        <v>-4.0005820439958468E-3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si="11"/>
        <v>2.2046645982250594</v>
      </c>
      <c r="S26" s="23">
        <f t="shared" si="11"/>
        <v>1.3152973211322789</v>
      </c>
      <c r="T26" s="23">
        <f t="shared" si="11"/>
        <v>2.1066824012193646</v>
      </c>
      <c r="U26" s="23">
        <f t="shared" si="11"/>
        <v>1.3736531902562059</v>
      </c>
      <c r="V26" s="23">
        <f t="shared" si="11"/>
        <v>2.2986263990487261</v>
      </c>
      <c r="W26" s="23">
        <f t="shared" si="11"/>
        <v>1.067411977737623</v>
      </c>
      <c r="X26" s="18"/>
      <c r="Z26" s="26">
        <f t="shared" si="12"/>
        <v>3.2174822805920416E-3</v>
      </c>
      <c r="AA26" s="26">
        <f t="shared" si="12"/>
        <v>-1.0544713149226911E-4</v>
      </c>
      <c r="AB26" s="26">
        <f t="shared" si="12"/>
        <v>7.7291464026850356E-4</v>
      </c>
      <c r="AC26" s="26">
        <f t="shared" si="12"/>
        <v>5.9562840087392863E-3</v>
      </c>
      <c r="AD26" s="26">
        <f t="shared" si="12"/>
        <v>-1.1220063223893477E-2</v>
      </c>
      <c r="AE26" s="26">
        <f t="shared" si="12"/>
        <v>1.3788294257859204E-3</v>
      </c>
    </row>
    <row r="27" spans="2:46" x14ac:dyDescent="0.3">
      <c r="C27" s="22">
        <f>'Forth Iteration'!AK38</f>
        <v>0.17705036328640714</v>
      </c>
      <c r="D27" s="22">
        <f>'Forth Iteration'!AL38</f>
        <v>-0.87627885671359285</v>
      </c>
      <c r="E27" s="22">
        <f>'Forth Iteration'!AM38</f>
        <v>0.16728320328640714</v>
      </c>
      <c r="F27" s="22">
        <f>'Forth Iteration'!AN38</f>
        <v>-0.18729991671359286</v>
      </c>
      <c r="L27" s="18"/>
      <c r="M27" s="18">
        <f t="array" ref="M27:P32">MMULT(C4:H9,C27:F32)</f>
        <v>-1.4487672406201872</v>
      </c>
      <c r="N27" s="18">
        <v>-0.98035782352958745</v>
      </c>
      <c r="O27" s="18">
        <v>0.39672959068661262</v>
      </c>
      <c r="P27" s="18">
        <v>2.0961484393242129</v>
      </c>
      <c r="Q27" s="18"/>
      <c r="R27" s="18"/>
      <c r="S27" s="18"/>
      <c r="T27" s="18"/>
      <c r="U27" s="18"/>
      <c r="V27" s="18"/>
      <c r="W27" s="18"/>
      <c r="X27" s="18"/>
      <c r="Z27" s="26">
        <f t="shared" si="12"/>
        <v>-1.271525240680951E-3</v>
      </c>
      <c r="AA27" s="26">
        <f t="shared" si="12"/>
        <v>1.1402162131067099E-3</v>
      </c>
      <c r="AB27" s="26">
        <f t="shared" si="12"/>
        <v>7.6584820725274878E-4</v>
      </c>
      <c r="AC27" s="26">
        <f t="shared" si="12"/>
        <v>-8.855705372090017E-3</v>
      </c>
      <c r="AD27" s="26">
        <f t="shared" si="12"/>
        <v>1.1800794238147902E-2</v>
      </c>
      <c r="AE27" s="26">
        <f t="shared" si="12"/>
        <v>-3.5796280457363995E-3</v>
      </c>
    </row>
    <row r="28" spans="2:46" x14ac:dyDescent="0.3">
      <c r="C28" s="22">
        <f>'Forth Iteration'!AK39</f>
        <v>-0.54270792704467674</v>
      </c>
      <c r="D28" s="22">
        <f>'Forth Iteration'!AL39</f>
        <v>0.10159121295532331</v>
      </c>
      <c r="E28" s="22">
        <f>'Forth Iteration'!AM39</f>
        <v>0.3112528329553233</v>
      </c>
      <c r="F28" s="22">
        <f>'Forth Iteration'!AN39</f>
        <v>0.26139313295532335</v>
      </c>
      <c r="L28" s="18"/>
      <c r="M28" s="18">
        <v>-2.12087301281887</v>
      </c>
      <c r="N28" s="18">
        <v>8.6129575278110368E-2</v>
      </c>
      <c r="O28" s="18">
        <v>0.99484003213757055</v>
      </c>
      <c r="P28" s="18">
        <v>1.1610320908496505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'Forth Iteration'!AK40</f>
        <v>-0.46893544498776668</v>
      </c>
      <c r="D29" s="22">
        <f>'Forth Iteration'!AL40</f>
        <v>-0.20393287498776666</v>
      </c>
      <c r="E29" s="22">
        <f>'Forth Iteration'!AM40</f>
        <v>0.11630503501223337</v>
      </c>
      <c r="F29" s="22">
        <f>'Forth Iteration'!AN40</f>
        <v>0.43844587501223337</v>
      </c>
      <c r="L29" s="18"/>
      <c r="M29" s="18">
        <v>-1.3959134762865149</v>
      </c>
      <c r="N29" s="18">
        <v>-1.1093747692865148</v>
      </c>
      <c r="O29" s="18">
        <v>0.47939105071348531</v>
      </c>
      <c r="P29" s="18">
        <v>2.127020502713485</v>
      </c>
      <c r="Q29" s="18"/>
      <c r="R29" s="24">
        <f t="shared" ref="R29:W34" si="13">R21/SUM($R21:$W21)</f>
        <v>0.29192590335859203</v>
      </c>
      <c r="S29" s="24">
        <f t="shared" si="13"/>
        <v>4.3865835207555333E-2</v>
      </c>
      <c r="T29" s="24">
        <f t="shared" si="13"/>
        <v>0.28689289433994447</v>
      </c>
      <c r="U29" s="24">
        <f t="shared" si="13"/>
        <v>7.2335235801214759E-2</v>
      </c>
      <c r="V29" s="24">
        <f t="shared" si="13"/>
        <v>0.27542043419963586</v>
      </c>
      <c r="W29" s="24">
        <f t="shared" si="13"/>
        <v>2.9559697093057419E-2</v>
      </c>
      <c r="X29" s="18"/>
      <c r="Z29" s="1" t="s">
        <v>14</v>
      </c>
      <c r="AG29" s="1" t="s">
        <v>12</v>
      </c>
    </row>
    <row r="30" spans="2:46" x14ac:dyDescent="0.3">
      <c r="C30" s="22">
        <f>'Forth Iteration'!AK41</f>
        <v>-0.2475056016922125</v>
      </c>
      <c r="D30" s="22">
        <f>'Forth Iteration'!AL41</f>
        <v>-0.10074797169221254</v>
      </c>
      <c r="E30" s="22">
        <f>'Forth Iteration'!AM41</f>
        <v>-0.56108597169221253</v>
      </c>
      <c r="F30" s="22">
        <f>'Forth Iteration'!AN41</f>
        <v>-0.6060217916922126</v>
      </c>
      <c r="L30" s="18"/>
      <c r="M30" s="18">
        <v>-1.6010420989991176</v>
      </c>
      <c r="N30" s="18">
        <v>-3.480921770817743E-2</v>
      </c>
      <c r="O30" s="18">
        <v>0.62924879287020263</v>
      </c>
      <c r="P30" s="18">
        <v>0.83705477100644265</v>
      </c>
      <c r="Q30" s="18"/>
      <c r="R30" s="24">
        <f t="shared" si="13"/>
        <v>0.18993282126511873</v>
      </c>
      <c r="S30" s="24">
        <f t="shared" si="13"/>
        <v>0.14815780840754728</v>
      </c>
      <c r="T30" s="24">
        <f t="shared" si="13"/>
        <v>0.18559049247999232</v>
      </c>
      <c r="U30" s="24">
        <f t="shared" si="13"/>
        <v>0.15495091275492634</v>
      </c>
      <c r="V30" s="24">
        <f t="shared" si="13"/>
        <v>0.20041019281192518</v>
      </c>
      <c r="W30" s="24">
        <f t="shared" si="13"/>
        <v>0.12095777228049019</v>
      </c>
      <c r="X30" s="18"/>
      <c r="Z30" s="28">
        <f t="array" ref="Z30:AC35">MMULT(TRANSPOSE(Z22:AE27),M9:P14)</f>
        <v>-1.1010116872635376E-3</v>
      </c>
      <c r="AA30" s="28">
        <v>-1.3156568761604414E-3</v>
      </c>
      <c r="AB30" s="28">
        <v>-1.3429747320964039E-2</v>
      </c>
      <c r="AC30" s="28">
        <v>-1.6503966106381062E-2</v>
      </c>
      <c r="AG30" s="28">
        <f t="array" ref="AG30:AJ35">MMULT(TRANSPOSE(R29:W34),Z15:AC20)</f>
        <v>-9.094473089627203E-2</v>
      </c>
      <c r="AH30" s="28">
        <v>-9.094473089627203E-2</v>
      </c>
      <c r="AI30" s="28">
        <v>-9.094473089627203E-2</v>
      </c>
      <c r="AJ30" s="28">
        <v>-9.094473089627203E-2</v>
      </c>
    </row>
    <row r="31" spans="2:46" x14ac:dyDescent="0.3">
      <c r="C31" s="22">
        <f>'Forth Iteration'!AK42</f>
        <v>0.41237518197902306</v>
      </c>
      <c r="D31" s="22">
        <f>'Forth Iteration'!AL42</f>
        <v>0.68423228197902297</v>
      </c>
      <c r="E31" s="22">
        <f>'Forth Iteration'!AM42</f>
        <v>-2.9892788020976953E-2</v>
      </c>
      <c r="F31" s="22">
        <f>'Forth Iteration'!AN42</f>
        <v>0.50787872197902295</v>
      </c>
      <c r="L31" s="18"/>
      <c r="M31" s="18">
        <v>-1.3805306508387774</v>
      </c>
      <c r="N31" s="18">
        <v>-1.0529360578085774</v>
      </c>
      <c r="O31" s="18">
        <v>0.52664869359682276</v>
      </c>
      <c r="P31" s="18">
        <v>2.1975327204760227</v>
      </c>
      <c r="Q31" s="18"/>
      <c r="R31" s="24">
        <f t="shared" si="13"/>
        <v>0.28118765272064339</v>
      </c>
      <c r="S31" s="24">
        <f t="shared" si="13"/>
        <v>5.2799422634837799E-2</v>
      </c>
      <c r="T31" s="24">
        <f t="shared" si="13"/>
        <v>0.2773965215922114</v>
      </c>
      <c r="U31" s="24">
        <f t="shared" si="13"/>
        <v>8.3790866001783287E-2</v>
      </c>
      <c r="V31" s="24">
        <f t="shared" si="13"/>
        <v>0.26870092746411711</v>
      </c>
      <c r="W31" s="24">
        <f t="shared" si="13"/>
        <v>3.6124609586407064E-2</v>
      </c>
      <c r="X31" s="18"/>
      <c r="Z31" s="28">
        <v>-2.2836633743993917E-3</v>
      </c>
      <c r="AA31" s="28">
        <v>-1.8285955812743821E-3</v>
      </c>
      <c r="AB31" s="28">
        <v>9.1819589078975666E-3</v>
      </c>
      <c r="AC31" s="28">
        <v>2.2783337722472935E-3</v>
      </c>
      <c r="AG31" s="28">
        <v>0.14588929344800777</v>
      </c>
      <c r="AH31" s="28">
        <v>0.14588929344800777</v>
      </c>
      <c r="AI31" s="28">
        <v>0.14588929344800777</v>
      </c>
      <c r="AJ31" s="28">
        <v>0.14588929344800777</v>
      </c>
    </row>
    <row r="32" spans="2:46" x14ac:dyDescent="0.3">
      <c r="C32" s="22">
        <f>'Forth Iteration'!AK43</f>
        <v>0.18693028197902303</v>
      </c>
      <c r="D32" s="22">
        <f>'Forth Iteration'!AL43</f>
        <v>-0.31644760802097693</v>
      </c>
      <c r="E32" s="22">
        <f>'Forth Iteration'!AM43</f>
        <v>0.18681007197902302</v>
      </c>
      <c r="F32" s="22">
        <f>'Forth Iteration'!AN43</f>
        <v>0.77513055197902303</v>
      </c>
      <c r="L32" s="18"/>
      <c r="M32" s="18">
        <v>-2.7140188336741375</v>
      </c>
      <c r="N32" s="18">
        <v>0.17220758532586281</v>
      </c>
      <c r="O32" s="18">
        <v>1.1929905753258629</v>
      </c>
      <c r="P32" s="18">
        <v>1.3022118693258629</v>
      </c>
      <c r="Q32" s="18"/>
      <c r="R32" s="24">
        <f t="shared" si="13"/>
        <v>0.19250384822957065</v>
      </c>
      <c r="S32" s="24">
        <f t="shared" si="13"/>
        <v>0.14367395933668145</v>
      </c>
      <c r="T32" s="24">
        <f t="shared" si="13"/>
        <v>0.18963049613376365</v>
      </c>
      <c r="U32" s="24">
        <f t="shared" si="13"/>
        <v>0.14969568071090356</v>
      </c>
      <c r="V32" s="24">
        <f t="shared" si="13"/>
        <v>0.19770148109689514</v>
      </c>
      <c r="W32" s="24">
        <f t="shared" si="13"/>
        <v>0.12679453449218564</v>
      </c>
      <c r="X32" s="18"/>
      <c r="Z32" s="28">
        <v>-2.3194357273267213E-3</v>
      </c>
      <c r="AA32" s="28">
        <v>-2.047287608192398E-3</v>
      </c>
      <c r="AB32" s="28">
        <v>4.1077479132076485E-3</v>
      </c>
      <c r="AC32" s="28">
        <v>-2.8612156852193338E-3</v>
      </c>
      <c r="AG32" s="28">
        <v>-9.4356964729315679E-2</v>
      </c>
      <c r="AH32" s="28">
        <v>-9.4356964729315679E-2</v>
      </c>
      <c r="AI32" s="28">
        <v>-9.4356964729315679E-2</v>
      </c>
      <c r="AJ32" s="28">
        <v>-9.4356964729315679E-2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3"/>
        <v>0.27656947556416905</v>
      </c>
      <c r="S33" s="24">
        <f t="shared" si="13"/>
        <v>5.5489729378486174E-2</v>
      </c>
      <c r="T33" s="24">
        <f t="shared" si="13"/>
        <v>0.27422050734652992</v>
      </c>
      <c r="U33" s="24">
        <f t="shared" si="13"/>
        <v>8.9346839240883158E-2</v>
      </c>
      <c r="V33" s="24">
        <f t="shared" si="13"/>
        <v>0.26776649854563744</v>
      </c>
      <c r="W33" s="24">
        <f t="shared" si="13"/>
        <v>3.6606949924294287E-2</v>
      </c>
      <c r="X33" s="18"/>
      <c r="Z33" s="28">
        <v>1.0678479004397428E-2</v>
      </c>
      <c r="AA33" s="28">
        <v>8.2943285276269561E-3</v>
      </c>
      <c r="AB33" s="28">
        <v>-6.9653952931519658E-2</v>
      </c>
      <c r="AC33" s="28">
        <v>-3.6746562158539949E-2</v>
      </c>
      <c r="AG33" s="28">
        <v>0.11150635367279646</v>
      </c>
      <c r="AH33" s="28">
        <v>0.11150635367279646</v>
      </c>
      <c r="AI33" s="28">
        <v>0.11150635367279646</v>
      </c>
      <c r="AJ33" s="28">
        <v>0.11150635367279646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3"/>
        <v>0.2126753967964842</v>
      </c>
      <c r="S34" s="24">
        <f t="shared" si="13"/>
        <v>0.12688160362459097</v>
      </c>
      <c r="T34" s="24">
        <f t="shared" si="13"/>
        <v>0.203223436328686</v>
      </c>
      <c r="U34" s="24">
        <f t="shared" si="13"/>
        <v>0.13251096676278745</v>
      </c>
      <c r="V34" s="24">
        <f t="shared" si="13"/>
        <v>0.22173952532196323</v>
      </c>
      <c r="W34" s="24">
        <f t="shared" si="13"/>
        <v>0.10296907116548835</v>
      </c>
      <c r="X34" s="18"/>
      <c r="Z34" s="28">
        <v>-9.9117298726603201E-3</v>
      </c>
      <c r="AA34" s="28">
        <v>-7.0904359918409991E-3</v>
      </c>
      <c r="AB34" s="28">
        <v>9.5731382836843126E-2</v>
      </c>
      <c r="AC34" s="28">
        <v>6.4628595774072345E-2</v>
      </c>
      <c r="AG34" s="28">
        <v>-6.0284897250780276E-2</v>
      </c>
      <c r="AH34" s="28">
        <v>-6.0284897250780276E-2</v>
      </c>
      <c r="AI34" s="28">
        <v>-6.0284897250780276E-2</v>
      </c>
      <c r="AJ34" s="28">
        <v>-6.0284897250780276E-2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4.9373616572525453E-3</v>
      </c>
      <c r="AA35" s="28">
        <v>3.9876475298412728E-3</v>
      </c>
      <c r="AB35" s="28">
        <v>-2.5937389405464688E-2</v>
      </c>
      <c r="AC35" s="28">
        <v>-1.0795185596179306E-2</v>
      </c>
      <c r="AG35" s="28">
        <v>0.13404306850870515</v>
      </c>
      <c r="AH35" s="28">
        <v>0.13404306850870515</v>
      </c>
      <c r="AI35" s="28">
        <v>0.13404306850870515</v>
      </c>
      <c r="AJ35" s="28">
        <v>0.13404306850870515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1.628385077456251E-3</v>
      </c>
      <c r="AA38" s="28">
        <v>9.334612991565008E-3</v>
      </c>
      <c r="AB38" s="28">
        <v>-2.4953348338941661E-3</v>
      </c>
      <c r="AC38" s="28">
        <v>1.052600973116833E-2</v>
      </c>
      <c r="AF38">
        <f t="array" ref="AF38:AI43">MMULT(TRANSPOSE(C4:H9),AG30:AJ35)</f>
        <v>-0.22541942122418224</v>
      </c>
      <c r="AG38">
        <v>-0.22541942122418224</v>
      </c>
      <c r="AH38">
        <v>-0.22541942122418224</v>
      </c>
      <c r="AI38">
        <v>-0.22541942122418224</v>
      </c>
      <c r="AK38" s="22">
        <f t="shared" ref="AK38:AN43" si="14">C27-0.02*AF38</f>
        <v>0.18155875171089078</v>
      </c>
      <c r="AL38" s="22">
        <f t="shared" si="14"/>
        <v>-0.8717704682891092</v>
      </c>
      <c r="AM38" s="22">
        <f t="shared" si="14"/>
        <v>0.17179159171089078</v>
      </c>
      <c r="AN38" s="22">
        <f t="shared" si="14"/>
        <v>-0.18279152828910922</v>
      </c>
    </row>
    <row r="39" spans="12:40" x14ac:dyDescent="0.3">
      <c r="Z39" s="28">
        <v>-2.5255362922956479E-3</v>
      </c>
      <c r="AA39" s="28">
        <v>-1.9596339564210152E-2</v>
      </c>
      <c r="AB39" s="28">
        <v>4.8135229677880873E-3</v>
      </c>
      <c r="AC39" s="28">
        <v>-2.1867504516242052E-2</v>
      </c>
      <c r="AF39">
        <v>0.95126626884806886</v>
      </c>
      <c r="AG39">
        <v>0.95126626884806886</v>
      </c>
      <c r="AH39">
        <v>0.95126626884806886</v>
      </c>
      <c r="AI39">
        <v>0.95126626884806886</v>
      </c>
      <c r="AK39" s="22">
        <f t="shared" si="14"/>
        <v>-0.56173325242163807</v>
      </c>
      <c r="AL39" s="22">
        <f t="shared" si="14"/>
        <v>8.2565887578361932E-2</v>
      </c>
      <c r="AM39" s="22">
        <f t="shared" si="14"/>
        <v>0.29222750757836191</v>
      </c>
      <c r="AN39" s="22">
        <f t="shared" si="14"/>
        <v>0.24236780757836196</v>
      </c>
    </row>
    <row r="40" spans="12:40" x14ac:dyDescent="0.3">
      <c r="Z40" s="28">
        <v>1.7988484170489121E-3</v>
      </c>
      <c r="AA40" s="28">
        <v>1.0883959194443791E-2</v>
      </c>
      <c r="AB40" s="28">
        <v>-2.7566503114499191E-3</v>
      </c>
      <c r="AC40" s="28">
        <v>1.2048700796061549E-2</v>
      </c>
      <c r="AF40">
        <v>-0.34532106299959453</v>
      </c>
      <c r="AG40">
        <v>-0.34532106299959453</v>
      </c>
      <c r="AH40">
        <v>-0.34532106299959453</v>
      </c>
      <c r="AI40">
        <v>-0.34532106299959453</v>
      </c>
      <c r="AK40" s="22">
        <f t="shared" si="14"/>
        <v>-0.46202902372777477</v>
      </c>
      <c r="AL40" s="22">
        <f t="shared" si="14"/>
        <v>-0.19702645372777478</v>
      </c>
      <c r="AM40" s="22">
        <f t="shared" si="14"/>
        <v>0.12321145627222525</v>
      </c>
      <c r="AN40" s="22">
        <f t="shared" si="14"/>
        <v>0.44535229627222528</v>
      </c>
    </row>
    <row r="41" spans="12:40" x14ac:dyDescent="0.3">
      <c r="Z41" s="28">
        <v>-2.3759838231581492E-3</v>
      </c>
      <c r="AA41" s="28">
        <v>-1.9335063117538263E-2</v>
      </c>
      <c r="AB41" s="28">
        <v>4.9536450777967166E-3</v>
      </c>
      <c r="AC41" s="28">
        <v>-2.2072397633969967E-2</v>
      </c>
      <c r="AF41">
        <v>-0.14699079632130876</v>
      </c>
      <c r="AG41">
        <v>-0.14699079632130876</v>
      </c>
      <c r="AH41">
        <v>-0.14699079632130876</v>
      </c>
      <c r="AI41">
        <v>-0.14699079632130876</v>
      </c>
      <c r="AK41" s="22">
        <f t="shared" si="14"/>
        <v>-0.24456578576578633</v>
      </c>
      <c r="AL41" s="22">
        <f t="shared" si="14"/>
        <v>-9.7808155765786373E-2</v>
      </c>
      <c r="AM41" s="22">
        <f t="shared" si="14"/>
        <v>-0.5581461557657863</v>
      </c>
      <c r="AN41" s="22">
        <f t="shared" si="14"/>
        <v>-0.60308197576578637</v>
      </c>
    </row>
    <row r="42" spans="12:40" x14ac:dyDescent="0.3">
      <c r="Z42" s="28">
        <v>1.9070796304708035E-3</v>
      </c>
      <c r="AA42" s="28">
        <v>1.1498896394329971E-2</v>
      </c>
      <c r="AB42" s="28">
        <v>-2.7958204346404769E-3</v>
      </c>
      <c r="AC42" s="28">
        <v>1.2493575253235465E-2</v>
      </c>
      <c r="AF42">
        <v>-0.24558659287636797</v>
      </c>
      <c r="AG42">
        <v>-0.24558659287636797</v>
      </c>
      <c r="AH42">
        <v>-0.24558659287636797</v>
      </c>
      <c r="AI42">
        <v>-0.24558659287636797</v>
      </c>
      <c r="AK42" s="22">
        <f t="shared" si="14"/>
        <v>0.41728691383655042</v>
      </c>
      <c r="AL42" s="22">
        <f t="shared" si="14"/>
        <v>0.68914401383655033</v>
      </c>
      <c r="AM42" s="22">
        <f t="shared" si="14"/>
        <v>-2.4981056163449592E-2</v>
      </c>
      <c r="AN42" s="22">
        <f t="shared" si="14"/>
        <v>0.51279045383655031</v>
      </c>
    </row>
    <row r="43" spans="12:40" x14ac:dyDescent="0.3">
      <c r="Z43" s="28">
        <v>-2.3066971375244969E-3</v>
      </c>
      <c r="AA43" s="28">
        <v>-1.8423720204022522E-2</v>
      </c>
      <c r="AB43" s="28">
        <v>4.7928954687482921E-3</v>
      </c>
      <c r="AC43" s="28">
        <v>-2.1161144578747196E-2</v>
      </c>
      <c r="AF43">
        <v>-0.24558659287636797</v>
      </c>
      <c r="AG43">
        <v>-0.24558659287636797</v>
      </c>
      <c r="AH43">
        <v>-0.24558659287636797</v>
      </c>
      <c r="AI43">
        <v>-0.24558659287636797</v>
      </c>
      <c r="AK43" s="22">
        <f t="shared" si="14"/>
        <v>0.19184201383655039</v>
      </c>
      <c r="AL43" s="22">
        <f t="shared" si="14"/>
        <v>-0.31153587616344958</v>
      </c>
      <c r="AM43" s="22">
        <f t="shared" si="14"/>
        <v>0.19172180383655038</v>
      </c>
      <c r="AN43" s="22">
        <f t="shared" si="14"/>
        <v>0.78004228383655039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4.9238593746356004E-3</v>
      </c>
      <c r="AG48">
        <v>2.9216789162464736E-2</v>
      </c>
      <c r="AH48">
        <v>-7.3996966642612787E-3</v>
      </c>
      <c r="AI48">
        <v>3.2270401055148862E-2</v>
      </c>
      <c r="AK48" s="22">
        <f t="shared" ref="AK48:AN53" si="15">C13-0.02*AF48</f>
        <v>0.24802570003667795</v>
      </c>
      <c r="AL48" s="22">
        <f t="shared" si="15"/>
        <v>-6.5404753010675068E-2</v>
      </c>
      <c r="AM48" s="22">
        <f t="shared" si="15"/>
        <v>0.32306456887006912</v>
      </c>
      <c r="AN48" s="22">
        <f t="shared" si="15"/>
        <v>0.76720889518310686</v>
      </c>
    </row>
    <row r="49" spans="27:40" x14ac:dyDescent="0.3">
      <c r="AF49">
        <v>-1.6221051948325262E-2</v>
      </c>
      <c r="AG49">
        <v>-0.13943655716345832</v>
      </c>
      <c r="AH49">
        <v>3.5471635353966302E-2</v>
      </c>
      <c r="AI49">
        <v>-0.1593236013511895</v>
      </c>
      <c r="AK49" s="22">
        <f t="shared" si="15"/>
        <v>-0.10319455097961282</v>
      </c>
      <c r="AL49" s="22">
        <f t="shared" si="15"/>
        <v>-0.16814473960482998</v>
      </c>
      <c r="AM49" s="22">
        <f t="shared" si="15"/>
        <v>0.81271833507889402</v>
      </c>
      <c r="AN49" s="22">
        <f t="shared" si="15"/>
        <v>0.25816035464432108</v>
      </c>
    </row>
    <row r="50" spans="27:40" x14ac:dyDescent="0.3">
      <c r="AF50">
        <v>8.7947221219496063E-3</v>
      </c>
      <c r="AG50">
        <v>3.7797282855245376E-2</v>
      </c>
      <c r="AH50">
        <v>-9.5833532256205892E-3</v>
      </c>
      <c r="AI50">
        <v>4.010381061243682E-2</v>
      </c>
      <c r="AK50" s="22">
        <f t="shared" si="15"/>
        <v>-0.23120591383443936</v>
      </c>
      <c r="AL50" s="22">
        <f t="shared" si="15"/>
        <v>0.26512938779009221</v>
      </c>
      <c r="AM50" s="22">
        <f t="shared" si="15"/>
        <v>-0.22644874113712848</v>
      </c>
      <c r="AN50" s="22">
        <f t="shared" si="15"/>
        <v>-0.25753926964143109</v>
      </c>
    </row>
    <row r="51" spans="27:40" x14ac:dyDescent="0.3">
      <c r="AF51">
        <v>3.3532528220583712E-3</v>
      </c>
      <c r="AG51">
        <v>1.6975530740892971E-2</v>
      </c>
      <c r="AH51">
        <v>-4.3030265089488359E-3</v>
      </c>
      <c r="AI51">
        <v>1.8415127298169742E-2</v>
      </c>
      <c r="AK51" s="22">
        <f t="shared" si="15"/>
        <v>0.12157474582930396</v>
      </c>
      <c r="AL51" s="22">
        <f t="shared" si="15"/>
        <v>-0.95664738951070849</v>
      </c>
      <c r="AM51" s="22">
        <f t="shared" si="15"/>
        <v>-0.86166459611123392</v>
      </c>
      <c r="AN51" s="22">
        <f t="shared" si="15"/>
        <v>-0.28419646570945611</v>
      </c>
    </row>
    <row r="52" spans="27:40" x14ac:dyDescent="0.3">
      <c r="AF52">
        <v>5.3343131249759673E-3</v>
      </c>
      <c r="AG52">
        <v>3.1717468580338769E-2</v>
      </c>
      <c r="AH52">
        <v>-8.047805579984562E-3</v>
      </c>
      <c r="AI52">
        <v>3.5068285780465343E-2</v>
      </c>
      <c r="AK52" s="22">
        <f t="shared" si="15"/>
        <v>-0.50680392986964062</v>
      </c>
      <c r="AL52" s="22">
        <f t="shared" si="15"/>
        <v>0.16126150395196903</v>
      </c>
      <c r="AM52" s="22">
        <f t="shared" si="15"/>
        <v>-0.45490280486188356</v>
      </c>
      <c r="AN52" s="22">
        <f t="shared" si="15"/>
        <v>-0.69972745799759917</v>
      </c>
    </row>
    <row r="53" spans="27:40" x14ac:dyDescent="0.3">
      <c r="AF53">
        <v>5.3343131249759673E-3</v>
      </c>
      <c r="AG53">
        <v>3.1717468580338769E-2</v>
      </c>
      <c r="AH53">
        <v>-8.047805579984562E-3</v>
      </c>
      <c r="AI53">
        <v>3.5068285780465343E-2</v>
      </c>
      <c r="AK53" s="22">
        <f t="shared" si="15"/>
        <v>0.73243601013035942</v>
      </c>
      <c r="AL53" s="22">
        <f t="shared" si="15"/>
        <v>-0.10875031604803097</v>
      </c>
      <c r="AM53" s="22">
        <f t="shared" si="15"/>
        <v>3.2873335138116487E-2</v>
      </c>
      <c r="AN53" s="22">
        <f t="shared" si="15"/>
        <v>-0.7059496979975991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-1.2475567440245926E-2</v>
      </c>
      <c r="AG56">
        <v>-9.7474105144140857E-3</v>
      </c>
      <c r="AH56">
        <v>8.241890430514566E-2</v>
      </c>
      <c r="AI56">
        <v>4.3892366002978099E-2</v>
      </c>
      <c r="AK56" s="22">
        <f t="shared" ref="AK56:AN61" si="16">C20-0.02*AF56</f>
        <v>-0.27793218529548697</v>
      </c>
      <c r="AL56" s="22">
        <f t="shared" si="16"/>
        <v>5.2311040505973003E-2</v>
      </c>
      <c r="AM56" s="22">
        <f t="shared" si="16"/>
        <v>-0.55132356074871991</v>
      </c>
      <c r="AN56" s="22">
        <f t="shared" si="16"/>
        <v>0.19912135216863314</v>
      </c>
    </row>
    <row r="57" spans="27:40" x14ac:dyDescent="0.3">
      <c r="AF57">
        <v>2.0923237227356284E-2</v>
      </c>
      <c r="AG57">
        <v>1.6600079954602019E-2</v>
      </c>
      <c r="AH57">
        <v>-0.12910220333211864</v>
      </c>
      <c r="AI57">
        <v>-6.4575451402583292E-2</v>
      </c>
      <c r="AK57" s="22">
        <f t="shared" si="16"/>
        <v>-0.27970600901889842</v>
      </c>
      <c r="AL57" s="22">
        <f t="shared" si="16"/>
        <v>-0.13452998581236539</v>
      </c>
      <c r="AM57" s="22">
        <f t="shared" si="16"/>
        <v>-0.3852335900068965</v>
      </c>
      <c r="AN57" s="22">
        <f t="shared" si="16"/>
        <v>0.8876781470707984</v>
      </c>
    </row>
    <row r="58" spans="27:40" x14ac:dyDescent="0.3">
      <c r="AF58">
        <v>-2.6664354574501156E-2</v>
      </c>
      <c r="AG58">
        <v>-2.0906760952387672E-2</v>
      </c>
      <c r="AH58">
        <v>0.17281876685817343</v>
      </c>
      <c r="AI58">
        <v>9.0526827964943879E-2</v>
      </c>
      <c r="AK58" s="22">
        <f t="shared" si="16"/>
        <v>-1.9108211614521236E-2</v>
      </c>
      <c r="AL58" s="22">
        <f t="shared" si="16"/>
        <v>-0.53563394160205957</v>
      </c>
      <c r="AM58" s="22">
        <f t="shared" si="16"/>
        <v>0.463746005607787</v>
      </c>
      <c r="AN58" s="22">
        <f t="shared" si="16"/>
        <v>-0.58575324912548099</v>
      </c>
    </row>
    <row r="59" spans="27:40" x14ac:dyDescent="0.3">
      <c r="AF59">
        <v>-7.7293497793705333E-3</v>
      </c>
      <c r="AG59">
        <v>-6.1582641106560643E-3</v>
      </c>
      <c r="AH59">
        <v>4.6058520553243776E-2</v>
      </c>
      <c r="AI59">
        <v>2.2263781662842361E-2</v>
      </c>
      <c r="AK59" s="22">
        <f t="shared" si="16"/>
        <v>0.10030165309731828</v>
      </c>
      <c r="AL59" s="22">
        <f t="shared" si="16"/>
        <v>-0.98210822203185943</v>
      </c>
      <c r="AM59" s="22">
        <f t="shared" si="16"/>
        <v>-0.64568547238137264</v>
      </c>
      <c r="AN59" s="22">
        <f t="shared" si="16"/>
        <v>0.10742395391021914</v>
      </c>
    </row>
    <row r="60" spans="27:40" x14ac:dyDescent="0.3">
      <c r="AF60">
        <v>-1.3332177287250578E-2</v>
      </c>
      <c r="AG60">
        <v>-1.045338047619384E-2</v>
      </c>
      <c r="AH60">
        <v>8.6409383429086731E-2</v>
      </c>
      <c r="AI60">
        <v>4.5263413982471953E-2</v>
      </c>
      <c r="AK60" s="22">
        <f t="shared" si="16"/>
        <v>0.36305348919273939</v>
      </c>
      <c r="AL60" s="22">
        <f t="shared" si="16"/>
        <v>8.2294899198970289E-2</v>
      </c>
      <c r="AM60" s="22">
        <f t="shared" si="16"/>
        <v>-3.1587367196106525E-2</v>
      </c>
      <c r="AN60" s="22">
        <f t="shared" si="16"/>
        <v>-0.13821756456274051</v>
      </c>
    </row>
    <row r="61" spans="27:40" x14ac:dyDescent="0.3">
      <c r="AF61">
        <v>-1.3332177287250578E-2</v>
      </c>
      <c r="AG61">
        <v>-1.045338047619384E-2</v>
      </c>
      <c r="AH61">
        <v>8.6409383429086731E-2</v>
      </c>
      <c r="AI61">
        <v>4.5263413982471953E-2</v>
      </c>
      <c r="AK61" s="22">
        <f t="shared" si="16"/>
        <v>-0.74544080080726072</v>
      </c>
      <c r="AL61" s="22">
        <f t="shared" si="16"/>
        <v>-0.36331134080102978</v>
      </c>
      <c r="AM61" s="22">
        <f t="shared" si="16"/>
        <v>-0.20408261719610654</v>
      </c>
      <c r="AN61" s="22">
        <f t="shared" si="16"/>
        <v>0.54089539543725962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DD53-18D0-4269-839A-0637FF525F2F}">
  <dimension ref="B3:AT61"/>
  <sheetViews>
    <sheetView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1.7853879653001585</v>
      </c>
      <c r="S6" s="18">
        <v>-2.0404928103769455</v>
      </c>
      <c r="T6" s="18">
        <v>1.7507119233267106</v>
      </c>
      <c r="U6" s="18">
        <v>-1.0346536946537563</v>
      </c>
      <c r="V6" s="18">
        <v>1.6687232420682925</v>
      </c>
      <c r="W6" s="18">
        <v>-2.8346675458064858</v>
      </c>
      <c r="X6" s="18"/>
      <c r="Z6">
        <f t="array" ref="Z6:AC11">MMULT(R29:W34,M27:P32)</f>
        <v>-1.4819971051311607</v>
      </c>
      <c r="AA6">
        <v>-0.88098610342894645</v>
      </c>
      <c r="AB6">
        <v>0.53135404637026351</v>
      </c>
      <c r="AC6">
        <v>1.9889977440518514</v>
      </c>
      <c r="AE6" s="25">
        <f>1/(1+EXP(-SUM(Z6:AC6)))</f>
        <v>0.53926115410532049</v>
      </c>
      <c r="AG6" s="25">
        <f t="shared" ref="AG6:AG11" si="0">AE6-J4</f>
        <v>-0.46073884589467951</v>
      </c>
      <c r="AI6" s="25">
        <f>-J4*LN(AE6)-(1-J4)*LN(1-AE6)</f>
        <v>0.61755530944775561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0.62644375042886336</v>
      </c>
      <c r="S7" s="18">
        <v>0.20934306802517766</v>
      </c>
      <c r="T7" s="18">
        <v>0.58075204874182418</v>
      </c>
      <c r="U7" s="18">
        <v>0.28454581459199491</v>
      </c>
      <c r="V7" s="18">
        <v>0.73520843343360309</v>
      </c>
      <c r="W7" s="18">
        <v>-0.18412146999233392</v>
      </c>
      <c r="X7" s="18"/>
      <c r="Z7">
        <v>-1.7195454985384808</v>
      </c>
      <c r="AA7">
        <v>-0.57465521981759682</v>
      </c>
      <c r="AB7">
        <v>0.65339253590394164</v>
      </c>
      <c r="AC7">
        <v>1.6724922876737713</v>
      </c>
      <c r="AE7" s="25">
        <f t="shared" ref="AE7:AE11" si="1">1/(1+EXP(-SUM(Z7:AC7)))</f>
        <v>0.50792036372360105</v>
      </c>
      <c r="AG7" s="25">
        <f t="shared" si="0"/>
        <v>0.50792036372360105</v>
      </c>
      <c r="AI7" s="25">
        <f t="shared" ref="AI7:AI11" si="2">-J5*LN(AE7)-(1-J5)*LN(1-AE7)</f>
        <v>0.70911471323772146</v>
      </c>
      <c r="AM7" s="26">
        <f t="array" ref="AM7:AR12">MMULT(Z15:AC20,TRANSPOSE(M27:P32))</f>
        <v>-6.3007385186688469E-2</v>
      </c>
      <c r="AN7" s="26">
        <v>3.6065803902504912E-2</v>
      </c>
      <c r="AO7" s="26">
        <v>-8.100240773968348E-2</v>
      </c>
      <c r="AP7" s="26">
        <v>0.13429918653167988</v>
      </c>
      <c r="AQ7" s="26">
        <v>-0.16737311806574651</v>
      </c>
      <c r="AR7" s="26">
        <v>0.14737217861604457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1.4342440053782655</v>
      </c>
      <c r="S8" s="18">
        <v>-1.9426713397289612</v>
      </c>
      <c r="T8" s="18">
        <v>1.4071587293013961</v>
      </c>
      <c r="U8" s="18">
        <v>-1.0140091687046844</v>
      </c>
      <c r="V8" s="18">
        <v>1.3431251356639753</v>
      </c>
      <c r="W8" s="18">
        <v>-2.7060202600723766</v>
      </c>
      <c r="X8" s="18"/>
      <c r="Z8">
        <v>-1.5006610858447338</v>
      </c>
      <c r="AA8">
        <v>-0.8531815377126255</v>
      </c>
      <c r="AB8">
        <v>0.54114752553959189</v>
      </c>
      <c r="AC8">
        <v>1.9583861305958374</v>
      </c>
      <c r="AE8" s="25">
        <f t="shared" si="1"/>
        <v>0.53635846918474051</v>
      </c>
      <c r="AG8" s="25">
        <f t="shared" si="0"/>
        <v>-0.46364153081525949</v>
      </c>
      <c r="AI8" s="25">
        <f t="shared" si="2"/>
        <v>0.62295255565646657</v>
      </c>
      <c r="AM8" s="26">
        <v>6.9459595791520057E-2</v>
      </c>
      <c r="AN8" s="26">
        <v>-3.9759087820287253E-2</v>
      </c>
      <c r="AO8" s="26">
        <v>8.9297381300105005E-2</v>
      </c>
      <c r="AP8" s="26">
        <v>-0.14805196540025939</v>
      </c>
      <c r="AQ8" s="26">
        <v>0.184512801043349</v>
      </c>
      <c r="AR8" s="26">
        <v>-0.16246368464991912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/>
      <c r="M9" s="18">
        <f t="array" ref="M9:P14">MMULT(C4:H9,C13:F18)</f>
        <v>-0.24094888572305218</v>
      </c>
      <c r="N9" s="18">
        <v>-0.33191583440661443</v>
      </c>
      <c r="O9" s="18">
        <v>-0.87853742431416926</v>
      </c>
      <c r="P9" s="18">
        <v>-1.5589012487339342</v>
      </c>
      <c r="Q9" s="18"/>
      <c r="R9" s="18">
        <v>0.67044994577497952</v>
      </c>
      <c r="S9" s="18">
        <v>0.13297266663271912</v>
      </c>
      <c r="T9" s="18">
        <v>0.6407515269820192</v>
      </c>
      <c r="U9" s="18">
        <v>0.20634311616409384</v>
      </c>
      <c r="V9" s="18">
        <v>0.72459604128138821</v>
      </c>
      <c r="W9" s="18">
        <v>-0.1096126993048242</v>
      </c>
      <c r="X9" s="18"/>
      <c r="Z9">
        <v>-1.7198061741443487</v>
      </c>
      <c r="AA9">
        <v>-0.5819783209476127</v>
      </c>
      <c r="AB9">
        <v>0.65255442065397573</v>
      </c>
      <c r="AC9">
        <v>1.6827164459909538</v>
      </c>
      <c r="AE9" s="25">
        <f t="shared" si="1"/>
        <v>0.50837081069449208</v>
      </c>
      <c r="AG9" s="25">
        <f t="shared" si="0"/>
        <v>0.50837081069449208</v>
      </c>
      <c r="AI9" s="25">
        <f t="shared" si="2"/>
        <v>0.7100305269229501</v>
      </c>
      <c r="AM9" s="26">
        <v>-6.3404335842133008E-2</v>
      </c>
      <c r="AN9" s="26">
        <v>3.6293020830422185E-2</v>
      </c>
      <c r="AO9" s="26">
        <v>-8.1512728216395436E-2</v>
      </c>
      <c r="AP9" s="26">
        <v>0.13514528020722977</v>
      </c>
      <c r="AQ9" s="26">
        <v>-0.16842757967724054</v>
      </c>
      <c r="AR9" s="26">
        <v>0.14830063299837737</v>
      </c>
    </row>
    <row r="10" spans="2:46" x14ac:dyDescent="0.3">
      <c r="L10" s="18"/>
      <c r="M10" s="18">
        <v>-0.52731978821145342</v>
      </c>
      <c r="N10" s="18">
        <v>-0.33531562652364799</v>
      </c>
      <c r="O10" s="18">
        <v>2.1272491391223221</v>
      </c>
      <c r="P10" s="18">
        <v>0.49258144998500036</v>
      </c>
      <c r="Q10" s="18"/>
      <c r="R10" s="18">
        <v>1.1412510929437396</v>
      </c>
      <c r="S10" s="18">
        <v>-2.1018879595978412</v>
      </c>
      <c r="T10" s="18">
        <v>1.1242541778363653</v>
      </c>
      <c r="U10" s="18">
        <v>-1.1444251255053588</v>
      </c>
      <c r="V10" s="18">
        <v>1.0762970867877548</v>
      </c>
      <c r="W10" s="18">
        <v>-2.9379256481018885</v>
      </c>
      <c r="X10" s="18"/>
      <c r="Z10">
        <v>-1.504677638564059</v>
      </c>
      <c r="AA10">
        <v>-0.84451221862871428</v>
      </c>
      <c r="AB10">
        <v>0.54356326076478378</v>
      </c>
      <c r="AC10">
        <v>1.947800842570544</v>
      </c>
      <c r="AE10" s="25">
        <f t="shared" si="1"/>
        <v>0.53548381061375117</v>
      </c>
      <c r="AG10" s="25">
        <f t="shared" si="0"/>
        <v>-0.46451618938624883</v>
      </c>
      <c r="AI10" s="25">
        <f t="shared" si="2"/>
        <v>0.62458462183191488</v>
      </c>
      <c r="AM10" s="26">
        <v>6.9521195732688446E-2</v>
      </c>
      <c r="AN10" s="26">
        <v>-3.9794347994820733E-2</v>
      </c>
      <c r="AO10" s="26">
        <v>8.9376574295282563E-2</v>
      </c>
      <c r="AP10" s="26">
        <v>-0.1481832646434324</v>
      </c>
      <c r="AQ10" s="26">
        <v>0.184676435420422</v>
      </c>
      <c r="AR10" s="26">
        <v>-0.1626077648637817</v>
      </c>
    </row>
    <row r="11" spans="2:46" x14ac:dyDescent="0.3">
      <c r="L11" s="18"/>
      <c r="M11" s="18">
        <v>-0.21373724093916058</v>
      </c>
      <c r="N11" s="18">
        <v>-0.24663279190092802</v>
      </c>
      <c r="O11" s="18">
        <v>-0.74109092568629986</v>
      </c>
      <c r="P11" s="18">
        <v>-1.4087025342305739</v>
      </c>
      <c r="Q11" s="18"/>
      <c r="R11" s="18">
        <v>1.5035758018146672</v>
      </c>
      <c r="S11" s="18">
        <v>0.57701071339954857</v>
      </c>
      <c r="T11" s="18">
        <v>1.4134364907529287</v>
      </c>
      <c r="U11" s="18">
        <v>0.64447753342835312</v>
      </c>
      <c r="V11" s="18">
        <v>1.5889132639223513</v>
      </c>
      <c r="W11" s="18">
        <v>0.1756852349300666</v>
      </c>
      <c r="X11" s="18"/>
      <c r="Z11">
        <v>-1.6746542951722949</v>
      </c>
      <c r="AA11">
        <v>-0.63633791738094192</v>
      </c>
      <c r="AB11">
        <v>0.63051410810182729</v>
      </c>
      <c r="AC11">
        <v>1.7389423552689736</v>
      </c>
      <c r="AE11" s="25">
        <f t="shared" si="1"/>
        <v>0.51461190090147368</v>
      </c>
      <c r="AG11" s="25">
        <f t="shared" si="0"/>
        <v>0.51461190090147368</v>
      </c>
      <c r="AI11" s="25">
        <f t="shared" si="2"/>
        <v>0.72280650371058286</v>
      </c>
      <c r="AM11" s="26">
        <v>-6.3523947960755445E-2</v>
      </c>
      <c r="AN11" s="26">
        <v>3.6361487522093561E-2</v>
      </c>
      <c r="AO11" s="26">
        <v>-8.1666501771266109E-2</v>
      </c>
      <c r="AP11" s="26">
        <v>0.13540023143529206</v>
      </c>
      <c r="AQ11" s="26">
        <v>-0.1687453178787699</v>
      </c>
      <c r="AR11" s="26">
        <v>0.148580401766087</v>
      </c>
    </row>
    <row r="12" spans="2:46" x14ac:dyDescent="0.3">
      <c r="B12" t="s">
        <v>2</v>
      </c>
      <c r="L12" s="18"/>
      <c r="M12" s="18">
        <v>-0.40934315469112198</v>
      </c>
      <c r="N12" s="18">
        <v>-0.26352773896624793</v>
      </c>
      <c r="O12" s="18">
        <v>1.2317830137000874</v>
      </c>
      <c r="P12" s="18">
        <v>0.21412005329856132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0.66784070513456528</v>
      </c>
      <c r="AM12" s="26">
        <v>7.0374683078415989E-2</v>
      </c>
      <c r="AN12" s="26">
        <v>-4.0282889253167919E-2</v>
      </c>
      <c r="AO12" s="26">
        <v>9.0473819162284252E-2</v>
      </c>
      <c r="AP12" s="26">
        <v>-0.1500024586300841</v>
      </c>
      <c r="AQ12" s="26">
        <v>0.1869436432701177</v>
      </c>
      <c r="AR12" s="26">
        <v>-0.16460404338237744</v>
      </c>
    </row>
    <row r="13" spans="2:46" x14ac:dyDescent="0.3">
      <c r="C13" s="22">
        <f>'Fifth Iteration'!AK48</f>
        <v>0.24802570003667795</v>
      </c>
      <c r="D13" s="22">
        <f>'Fifth Iteration'!AL48</f>
        <v>-6.5404753010675068E-2</v>
      </c>
      <c r="E13" s="22">
        <f>'Fifth Iteration'!AM48</f>
        <v>0.32306456887006912</v>
      </c>
      <c r="F13" s="22">
        <f>'Fifth Iteration'!AN48</f>
        <v>0.76720889518310686</v>
      </c>
      <c r="L13" s="18"/>
      <c r="M13" s="18">
        <v>-0.23901775531103164</v>
      </c>
      <c r="N13" s="18">
        <v>-0.14750748746806241</v>
      </c>
      <c r="O13" s="18">
        <v>-0.67201781241409186</v>
      </c>
      <c r="P13" s="18">
        <v>-1.4208759103037667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'Fifth Iteration'!AK49</f>
        <v>-0.10319455097961282</v>
      </c>
      <c r="D14" s="22">
        <f>'Fifth Iteration'!AL49</f>
        <v>-0.16814473960482998</v>
      </c>
      <c r="E14" s="22">
        <f>'Fifth Iteration'!AM49</f>
        <v>0.81271833507889402</v>
      </c>
      <c r="F14" s="22">
        <f>'Fifth Iteration'!AN49</f>
        <v>0.25816035464432108</v>
      </c>
      <c r="L14" s="18"/>
      <c r="M14" s="18">
        <v>-0.60751169400409943</v>
      </c>
      <c r="N14" s="18">
        <v>-0.69444378748244029</v>
      </c>
      <c r="O14" s="18">
        <v>2.7659252203450775</v>
      </c>
      <c r="P14" s="18">
        <v>0.68984320922301634</v>
      </c>
      <c r="Q14" s="18"/>
      <c r="R14" s="23">
        <f>R6/SQRT(4)</f>
        <v>0.89269398265007927</v>
      </c>
      <c r="S14" s="23">
        <f t="shared" ref="S14:W19" si="3">S6/SQRT(4)</f>
        <v>-1.0202464051884728</v>
      </c>
      <c r="T14" s="23">
        <f t="shared" si="3"/>
        <v>0.87535596166335528</v>
      </c>
      <c r="U14" s="23">
        <f t="shared" si="3"/>
        <v>-0.51732684732687817</v>
      </c>
      <c r="V14" s="23">
        <f t="shared" si="3"/>
        <v>0.83436162103414624</v>
      </c>
      <c r="W14" s="23">
        <f t="shared" si="3"/>
        <v>-1.4173337729032429</v>
      </c>
      <c r="X14" s="18"/>
      <c r="Z14" s="1" t="s">
        <v>83</v>
      </c>
    </row>
    <row r="15" spans="2:46" x14ac:dyDescent="0.3">
      <c r="C15" s="22">
        <f>'Fifth Iteration'!AK50</f>
        <v>-0.23120591383443936</v>
      </c>
      <c r="D15" s="22">
        <f>'Fifth Iteration'!AL50</f>
        <v>0.26512938779009221</v>
      </c>
      <c r="E15" s="22">
        <f>'Fifth Iteration'!AM50</f>
        <v>-0.22644874113712848</v>
      </c>
      <c r="F15" s="22">
        <f>'Fifth Iteration'!AN50</f>
        <v>-0.25753926964143109</v>
      </c>
      <c r="L15" s="18"/>
      <c r="M15" s="18"/>
      <c r="N15" s="18"/>
      <c r="O15" s="18"/>
      <c r="P15" s="18"/>
      <c r="Q15" s="18"/>
      <c r="R15" s="23">
        <f t="shared" ref="R15:V19" si="4">R7/SQRT(4)</f>
        <v>0.31322187521443168</v>
      </c>
      <c r="S15" s="23">
        <f t="shared" si="4"/>
        <v>0.10467153401258883</v>
      </c>
      <c r="T15" s="23">
        <f t="shared" si="4"/>
        <v>0.29037602437091209</v>
      </c>
      <c r="U15" s="23">
        <f t="shared" si="4"/>
        <v>0.14227290729599745</v>
      </c>
      <c r="V15" s="23">
        <f t="shared" si="4"/>
        <v>0.36760421671680155</v>
      </c>
      <c r="W15" s="23">
        <f t="shared" si="3"/>
        <v>-9.206073499616696E-2</v>
      </c>
      <c r="X15" s="18"/>
      <c r="Z15" s="26">
        <f t="shared" ref="Z15:Z20" si="5">AG6</f>
        <v>-0.46073884589467951</v>
      </c>
      <c r="AA15" s="26">
        <f>Z15</f>
        <v>-0.46073884589467951</v>
      </c>
      <c r="AB15" s="26">
        <f>AA15</f>
        <v>-0.46073884589467951</v>
      </c>
      <c r="AC15" s="26">
        <f>AB15</f>
        <v>-0.46073884589467951</v>
      </c>
      <c r="AF15">
        <f t="shared" ref="AF15:AK20" si="6">R29*AM7</f>
        <v>-1.8438361201425123E-2</v>
      </c>
      <c r="AG15">
        <f t="shared" si="6"/>
        <v>1.5582854803115513E-3</v>
      </c>
      <c r="AH15">
        <f t="shared" si="6"/>
        <v>-2.3296945462726825E-2</v>
      </c>
      <c r="AI15">
        <f t="shared" si="6"/>
        <v>9.5948895094913455E-3</v>
      </c>
      <c r="AJ15">
        <f t="shared" si="6"/>
        <v>-4.6204379873235377E-2</v>
      </c>
      <c r="AK15">
        <f t="shared" si="6"/>
        <v>4.280692760400686E-3</v>
      </c>
      <c r="AM15">
        <f>SUM(AF15:AK15)</f>
        <v>-7.2505818787183735E-2</v>
      </c>
      <c r="AO15">
        <f t="shared" ref="AO15:AT20" si="7">AM7-$AM15</f>
        <v>9.4984336004952652E-3</v>
      </c>
      <c r="AP15">
        <f t="shared" si="7"/>
        <v>0.10857162268968865</v>
      </c>
      <c r="AQ15">
        <f t="shared" si="7"/>
        <v>-8.4965889524997451E-3</v>
      </c>
      <c r="AR15">
        <f t="shared" si="7"/>
        <v>0.20680500531886362</v>
      </c>
      <c r="AS15">
        <f t="shared" si="7"/>
        <v>-9.4867299278562772E-2</v>
      </c>
      <c r="AT15">
        <f t="shared" si="7"/>
        <v>0.2198779974032283</v>
      </c>
    </row>
    <row r="16" spans="2:46" x14ac:dyDescent="0.3">
      <c r="C16" s="22">
        <f>'Fifth Iteration'!AK51</f>
        <v>0.12157474582930396</v>
      </c>
      <c r="D16" s="22">
        <f>'Fifth Iteration'!AL51</f>
        <v>-0.95664738951070849</v>
      </c>
      <c r="E16" s="22">
        <f>'Fifth Iteration'!AM51</f>
        <v>-0.86166459611123392</v>
      </c>
      <c r="F16" s="22">
        <f>'Fifth Iteration'!AN51</f>
        <v>-0.28419646570945611</v>
      </c>
      <c r="L16" s="19" t="s">
        <v>3</v>
      </c>
      <c r="M16" s="20"/>
      <c r="N16" s="18"/>
      <c r="O16" s="18"/>
      <c r="P16" s="18"/>
      <c r="Q16" s="18"/>
      <c r="R16" s="23">
        <f t="shared" si="4"/>
        <v>0.71712200268913273</v>
      </c>
      <c r="S16" s="23">
        <f t="shared" si="4"/>
        <v>-0.97133566986448061</v>
      </c>
      <c r="T16" s="23">
        <f t="shared" si="4"/>
        <v>0.70357936465069804</v>
      </c>
      <c r="U16" s="23">
        <f t="shared" si="4"/>
        <v>-0.50700458435234219</v>
      </c>
      <c r="V16" s="23">
        <f t="shared" si="4"/>
        <v>0.67156256783198764</v>
      </c>
      <c r="W16" s="23">
        <f t="shared" si="3"/>
        <v>-1.3530101300361883</v>
      </c>
      <c r="X16" s="18"/>
      <c r="Z16" s="26">
        <f t="shared" si="5"/>
        <v>0.50792036372360105</v>
      </c>
      <c r="AA16" s="26">
        <f t="shared" ref="AA16:AC20" si="8">Z16</f>
        <v>0.50792036372360105</v>
      </c>
      <c r="AB16" s="26">
        <f t="shared" si="8"/>
        <v>0.50792036372360105</v>
      </c>
      <c r="AC16" s="26">
        <f t="shared" si="8"/>
        <v>0.50792036372360105</v>
      </c>
      <c r="AF16">
        <f t="shared" si="6"/>
        <v>1.2971671255073921E-2</v>
      </c>
      <c r="AG16">
        <f t="shared" si="6"/>
        <v>-6.0273697144193764E-3</v>
      </c>
      <c r="AH16">
        <f t="shared" si="6"/>
        <v>1.6299736292868277E-2</v>
      </c>
      <c r="AI16">
        <f t="shared" si="6"/>
        <v>-2.3304278708153204E-2</v>
      </c>
      <c r="AJ16">
        <f t="shared" si="6"/>
        <v>3.6383806613182128E-2</v>
      </c>
      <c r="AK16">
        <f t="shared" si="6"/>
        <v>-2.0230563490121787E-2</v>
      </c>
      <c r="AM16">
        <f>SUM(AF16:AK16)</f>
        <v>1.6093002248429963E-2</v>
      </c>
      <c r="AO16">
        <f t="shared" si="7"/>
        <v>5.3366593543090091E-2</v>
      </c>
      <c r="AP16">
        <f t="shared" si="7"/>
        <v>-5.5852090068717219E-2</v>
      </c>
      <c r="AQ16">
        <f t="shared" si="7"/>
        <v>7.3204379051675039E-2</v>
      </c>
      <c r="AR16">
        <f t="shared" si="7"/>
        <v>-0.16414496764868935</v>
      </c>
      <c r="AS16">
        <f t="shared" si="7"/>
        <v>0.16841979879491903</v>
      </c>
      <c r="AT16">
        <f t="shared" si="7"/>
        <v>-0.17855668689834908</v>
      </c>
    </row>
    <row r="17" spans="2:46" x14ac:dyDescent="0.3">
      <c r="C17" s="22">
        <f>'Fifth Iteration'!AK52</f>
        <v>-0.50680392986964062</v>
      </c>
      <c r="D17" s="22">
        <f>'Fifth Iteration'!AL52</f>
        <v>0.16126150395196903</v>
      </c>
      <c r="E17" s="22">
        <f>'Fifth Iteration'!AM52</f>
        <v>-0.45490280486188356</v>
      </c>
      <c r="F17" s="22">
        <f>'Fifth Iteration'!AN52</f>
        <v>-0.69972745799759917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si="4"/>
        <v>0.33522497288748976</v>
      </c>
      <c r="S17" s="23">
        <f t="shared" si="4"/>
        <v>6.6486333316359558E-2</v>
      </c>
      <c r="T17" s="23">
        <f t="shared" si="4"/>
        <v>0.3203757634910096</v>
      </c>
      <c r="U17" s="23">
        <f t="shared" si="4"/>
        <v>0.10317155808204692</v>
      </c>
      <c r="V17" s="23">
        <f t="shared" si="4"/>
        <v>0.36229802064069411</v>
      </c>
      <c r="W17" s="23">
        <f t="shared" si="3"/>
        <v>-5.4806349652412101E-2</v>
      </c>
      <c r="X17" s="18"/>
      <c r="Z17" s="26">
        <f t="shared" si="5"/>
        <v>-0.46364153081525949</v>
      </c>
      <c r="AA17" s="26">
        <f t="shared" si="8"/>
        <v>-0.46364153081525949</v>
      </c>
      <c r="AB17" s="26">
        <f t="shared" si="8"/>
        <v>-0.46364153081525949</v>
      </c>
      <c r="AC17" s="26">
        <f t="shared" si="8"/>
        <v>-0.46364153081525949</v>
      </c>
      <c r="AF17">
        <f t="shared" si="6"/>
        <v>-1.7875485908918801E-2</v>
      </c>
      <c r="AG17">
        <f t="shared" si="6"/>
        <v>1.8909244013649525E-3</v>
      </c>
      <c r="AH17">
        <f t="shared" si="6"/>
        <v>-2.2671634658282081E-2</v>
      </c>
      <c r="AI17">
        <f t="shared" si="6"/>
        <v>1.1202329935156831E-2</v>
      </c>
      <c r="AJ17">
        <f t="shared" si="6"/>
        <v>-4.5369698690456393E-2</v>
      </c>
      <c r="AK17">
        <f t="shared" si="6"/>
        <v>5.2751515505831906E-3</v>
      </c>
      <c r="AM17">
        <f t="shared" ref="AM17:AM20" si="9">SUM(AF17:AK17)</f>
        <v>-6.7548413370552299E-2</v>
      </c>
      <c r="AO17">
        <f t="shared" si="7"/>
        <v>4.1440775284192904E-3</v>
      </c>
      <c r="AP17">
        <f t="shared" si="7"/>
        <v>0.10384143420097448</v>
      </c>
      <c r="AQ17">
        <f t="shared" si="7"/>
        <v>-1.3964314845843137E-2</v>
      </c>
      <c r="AR17">
        <f t="shared" si="7"/>
        <v>0.20269369357778205</v>
      </c>
      <c r="AS17">
        <f t="shared" si="7"/>
        <v>-0.10087916630668824</v>
      </c>
      <c r="AT17">
        <f t="shared" si="7"/>
        <v>0.21584904636892965</v>
      </c>
    </row>
    <row r="18" spans="2:46" x14ac:dyDescent="0.3">
      <c r="C18" s="22">
        <f>'Fifth Iteration'!AK53</f>
        <v>0.73243601013035942</v>
      </c>
      <c r="D18" s="22">
        <f>'Fifth Iteration'!AL53</f>
        <v>-0.10875031604803097</v>
      </c>
      <c r="E18" s="22">
        <f>'Fifth Iteration'!AM53</f>
        <v>3.2873335138116487E-2</v>
      </c>
      <c r="F18" s="22">
        <f>'Fifth Iteration'!AN53</f>
        <v>-0.7059496979975991</v>
      </c>
      <c r="L18" s="18"/>
      <c r="M18" s="18">
        <f t="array" ref="M18:P23">MMULT(C4:H9,C20:F25)</f>
        <v>-0.8529323119031994</v>
      </c>
      <c r="N18" s="18">
        <v>-2.9605487652060027</v>
      </c>
      <c r="O18" s="18">
        <v>-0.33916300190819693</v>
      </c>
      <c r="P18" s="18">
        <v>-0.1919649955820002</v>
      </c>
      <c r="Q18" s="18"/>
      <c r="R18" s="23">
        <f t="shared" si="4"/>
        <v>0.5706255464718698</v>
      </c>
      <c r="S18" s="23">
        <f t="shared" si="4"/>
        <v>-1.0509439797989206</v>
      </c>
      <c r="T18" s="23">
        <f t="shared" si="4"/>
        <v>0.56212708891818264</v>
      </c>
      <c r="U18" s="23">
        <f t="shared" si="4"/>
        <v>-0.5722125627526794</v>
      </c>
      <c r="V18" s="23">
        <f t="shared" si="4"/>
        <v>0.53814854339387741</v>
      </c>
      <c r="W18" s="23">
        <f t="shared" si="3"/>
        <v>-1.4689628240509442</v>
      </c>
      <c r="X18" s="18"/>
      <c r="Z18" s="26">
        <f t="shared" si="5"/>
        <v>0.50837081069449208</v>
      </c>
      <c r="AA18" s="26">
        <f t="shared" si="8"/>
        <v>0.50837081069449208</v>
      </c>
      <c r="AB18" s="26">
        <f t="shared" si="8"/>
        <v>0.50837081069449208</v>
      </c>
      <c r="AC18" s="26">
        <f t="shared" si="8"/>
        <v>0.50837081069449208</v>
      </c>
      <c r="AF18">
        <f t="shared" si="6"/>
        <v>1.324973967692712E-2</v>
      </c>
      <c r="AG18">
        <f t="shared" si="6"/>
        <v>-5.7969532454428723E-3</v>
      </c>
      <c r="AH18">
        <f t="shared" si="6"/>
        <v>1.6782818093364037E-2</v>
      </c>
      <c r="AI18">
        <f t="shared" si="6"/>
        <v>-2.2392869719974107E-2</v>
      </c>
      <c r="AJ18">
        <f t="shared" si="6"/>
        <v>3.6162568639669344E-2</v>
      </c>
      <c r="AK18">
        <f t="shared" si="6"/>
        <v>-2.0981809590944093E-2</v>
      </c>
      <c r="AM18">
        <f t="shared" si="9"/>
        <v>1.7023493853599424E-2</v>
      </c>
      <c r="AO18">
        <f t="shared" si="7"/>
        <v>5.2497701879089018E-2</v>
      </c>
      <c r="AP18">
        <f t="shared" si="7"/>
        <v>-5.6817841848420161E-2</v>
      </c>
      <c r="AQ18">
        <f t="shared" si="7"/>
        <v>7.2353080441683135E-2</v>
      </c>
      <c r="AR18">
        <f t="shared" si="7"/>
        <v>-0.16520675849703181</v>
      </c>
      <c r="AS18">
        <f t="shared" si="7"/>
        <v>0.16765294156682259</v>
      </c>
      <c r="AT18">
        <f t="shared" si="7"/>
        <v>-0.17963125871738111</v>
      </c>
    </row>
    <row r="19" spans="2:46" x14ac:dyDescent="0.3">
      <c r="B19" t="s">
        <v>8</v>
      </c>
      <c r="C19" t="s">
        <v>9</v>
      </c>
      <c r="L19" s="18"/>
      <c r="M19" s="18">
        <v>-0.84966661255388309</v>
      </c>
      <c r="N19" s="18">
        <v>-1.0371579435270246</v>
      </c>
      <c r="O19" s="18">
        <v>-0.75944036461096109</v>
      </c>
      <c r="P19" s="18">
        <v>2.08907713855226</v>
      </c>
      <c r="Q19" s="18"/>
      <c r="R19" s="23">
        <f t="shared" si="4"/>
        <v>0.75178790090733361</v>
      </c>
      <c r="S19" s="23">
        <f t="shared" si="4"/>
        <v>0.28850535669977428</v>
      </c>
      <c r="T19" s="23">
        <f t="shared" si="4"/>
        <v>0.70671824537646433</v>
      </c>
      <c r="U19" s="23">
        <f t="shared" si="4"/>
        <v>0.32223876671417656</v>
      </c>
      <c r="V19" s="23">
        <f t="shared" si="4"/>
        <v>0.79445663196117566</v>
      </c>
      <c r="W19" s="23">
        <f t="shared" si="3"/>
        <v>8.7842617465033301E-2</v>
      </c>
      <c r="X19" s="18"/>
      <c r="Z19" s="26">
        <f t="shared" si="5"/>
        <v>-0.46451618938624883</v>
      </c>
      <c r="AA19" s="26">
        <f t="shared" si="8"/>
        <v>-0.46451618938624883</v>
      </c>
      <c r="AB19" s="26">
        <f t="shared" si="8"/>
        <v>-0.46451618938624883</v>
      </c>
      <c r="AC19" s="26">
        <f t="shared" si="8"/>
        <v>-0.46451618938624883</v>
      </c>
      <c r="AF19">
        <f t="shared" si="6"/>
        <v>-1.7615372464024368E-2</v>
      </c>
      <c r="AG19">
        <f t="shared" si="6"/>
        <v>1.992311736978526E-3</v>
      </c>
      <c r="AH19">
        <f t="shared" si="6"/>
        <v>-2.2454710936154591E-2</v>
      </c>
      <c r="AI19">
        <f t="shared" si="6"/>
        <v>1.197417142406714E-2</v>
      </c>
      <c r="AJ19">
        <f t="shared" si="6"/>
        <v>-4.5298257620306301E-2</v>
      </c>
      <c r="AK19">
        <f t="shared" si="6"/>
        <v>5.3596188124376077E-3</v>
      </c>
      <c r="AM19">
        <f t="shared" si="9"/>
        <v>-6.6042239047001974E-2</v>
      </c>
      <c r="AO19">
        <f t="shared" si="7"/>
        <v>2.5182910862465296E-3</v>
      </c>
      <c r="AP19">
        <f t="shared" si="7"/>
        <v>0.10240372656909554</v>
      </c>
      <c r="AQ19">
        <f t="shared" si="7"/>
        <v>-1.5624262724264135E-2</v>
      </c>
      <c r="AR19">
        <f t="shared" si="7"/>
        <v>0.20144247048229402</v>
      </c>
      <c r="AS19">
        <f t="shared" si="7"/>
        <v>-0.10270307883176792</v>
      </c>
      <c r="AT19">
        <f t="shared" si="7"/>
        <v>0.21462264081308896</v>
      </c>
    </row>
    <row r="20" spans="2:46" x14ac:dyDescent="0.3">
      <c r="C20" s="22">
        <f>'Fifth Iteration'!AK56</f>
        <v>-0.27793218529548697</v>
      </c>
      <c r="D20" s="22">
        <f>'Fifth Iteration'!AL56</f>
        <v>5.2311040505973003E-2</v>
      </c>
      <c r="E20" s="22">
        <f>'Fifth Iteration'!AM56</f>
        <v>-0.55132356074871991</v>
      </c>
      <c r="F20" s="22">
        <f>'Fifth Iteration'!AN56</f>
        <v>0.19912135216863314</v>
      </c>
      <c r="L20" s="18"/>
      <c r="M20" s="18">
        <v>-0.90707865298488388</v>
      </c>
      <c r="N20" s="18">
        <v>-2.8540346115433035</v>
      </c>
      <c r="O20" s="18">
        <v>-0.36210604346770403</v>
      </c>
      <c r="P20" s="18">
        <v>-0.17110085874329484</v>
      </c>
      <c r="Q20" s="18"/>
      <c r="R20" s="18"/>
      <c r="S20" s="18"/>
      <c r="T20" s="18"/>
      <c r="U20" s="18"/>
      <c r="V20" s="18"/>
      <c r="W20" s="18"/>
      <c r="X20" s="18"/>
      <c r="Z20" s="26">
        <f t="shared" si="5"/>
        <v>0.51461190090147368</v>
      </c>
      <c r="AA20" s="26">
        <f t="shared" si="8"/>
        <v>0.51461190090147368</v>
      </c>
      <c r="AB20" s="26">
        <f t="shared" si="8"/>
        <v>0.51461190090147368</v>
      </c>
      <c r="AC20" s="26">
        <f t="shared" si="8"/>
        <v>0.51461190090147368</v>
      </c>
      <c r="AF20">
        <f t="shared" si="6"/>
        <v>1.4678650340440819E-2</v>
      </c>
      <c r="AG20">
        <f t="shared" si="6"/>
        <v>-5.2867555887810601E-3</v>
      </c>
      <c r="AH20">
        <f t="shared" si="6"/>
        <v>1.8039275615413131E-2</v>
      </c>
      <c r="AI20">
        <f t="shared" si="6"/>
        <v>-2.0361849914800431E-2</v>
      </c>
      <c r="AJ20">
        <f t="shared" si="6"/>
        <v>4.0692199954555093E-2</v>
      </c>
      <c r="AK20">
        <f t="shared" si="6"/>
        <v>-1.7675121158820355E-2</v>
      </c>
      <c r="AM20">
        <f t="shared" si="9"/>
        <v>3.0086399248007198E-2</v>
      </c>
      <c r="AO20">
        <f t="shared" si="7"/>
        <v>4.0288283830408791E-2</v>
      </c>
      <c r="AP20">
        <f t="shared" si="7"/>
        <v>-7.0369288501175117E-2</v>
      </c>
      <c r="AQ20">
        <f t="shared" si="7"/>
        <v>6.0387419914277055E-2</v>
      </c>
      <c r="AR20">
        <f t="shared" si="7"/>
        <v>-0.18008885787809131</v>
      </c>
      <c r="AS20">
        <f t="shared" si="7"/>
        <v>0.15685724402211049</v>
      </c>
      <c r="AT20">
        <f t="shared" si="7"/>
        <v>-0.19469044263038465</v>
      </c>
    </row>
    <row r="21" spans="2:46" x14ac:dyDescent="0.3">
      <c r="C21" s="22">
        <f>'Fifth Iteration'!AK57</f>
        <v>-0.27970600901889842</v>
      </c>
      <c r="D21" s="22">
        <f>'Fifth Iteration'!AL57</f>
        <v>-0.13452998581236539</v>
      </c>
      <c r="E21" s="22">
        <f>'Fifth Iteration'!AM57</f>
        <v>-0.3852335900068965</v>
      </c>
      <c r="F21" s="22">
        <f>'Fifth Iteration'!AN57</f>
        <v>0.8876781470707984</v>
      </c>
      <c r="L21" s="18"/>
      <c r="M21" s="18">
        <v>-0.56287151661004964</v>
      </c>
      <c r="N21" s="18">
        <v>-1.0002852244872109</v>
      </c>
      <c r="O21" s="18">
        <v>-0.44460942776204493</v>
      </c>
      <c r="P21" s="18">
        <v>1.2142484890211325</v>
      </c>
      <c r="Q21" s="18"/>
      <c r="R21" s="23">
        <f>EXP(R14)</f>
        <v>2.4416986927901334</v>
      </c>
      <c r="S21" s="23">
        <f t="shared" ref="S21:W21" si="10">EXP(S14)</f>
        <v>0.36050609865483768</v>
      </c>
      <c r="T21" s="23">
        <f t="shared" si="10"/>
        <v>2.3997293536041466</v>
      </c>
      <c r="U21" s="23">
        <f t="shared" si="10"/>
        <v>0.59611191820239473</v>
      </c>
      <c r="V21" s="23">
        <f t="shared" si="10"/>
        <v>2.3033431730162506</v>
      </c>
      <c r="W21" s="23">
        <f t="shared" si="10"/>
        <v>0.2423593412669256</v>
      </c>
      <c r="X21" s="18"/>
      <c r="Z21" s="1" t="s">
        <v>81</v>
      </c>
    </row>
    <row r="22" spans="2:46" x14ac:dyDescent="0.3">
      <c r="C22" s="22">
        <f>'Fifth Iteration'!AK58</f>
        <v>-1.9108211614521236E-2</v>
      </c>
      <c r="D22" s="22">
        <f>'Fifth Iteration'!AL58</f>
        <v>-0.53563394160205957</v>
      </c>
      <c r="E22" s="22">
        <f>'Fifth Iteration'!AM58</f>
        <v>0.463746005607787</v>
      </c>
      <c r="F22" s="22">
        <f>'Fifth Iteration'!AN58</f>
        <v>-0.58575324912548099</v>
      </c>
      <c r="L22" s="18"/>
      <c r="M22" s="18">
        <v>-0.90240342637063153</v>
      </c>
      <c r="N22" s="18">
        <v>-2.7585915664932887</v>
      </c>
      <c r="O22" s="18">
        <v>-0.26836696663035198</v>
      </c>
      <c r="P22" s="18">
        <v>-0.19237876487755934</v>
      </c>
      <c r="Q22" s="18"/>
      <c r="R22" s="23">
        <f t="shared" ref="R22:W26" si="11">EXP(R15)</f>
        <v>1.3678249838236241</v>
      </c>
      <c r="S22" s="23">
        <f t="shared" si="11"/>
        <v>1.110345839609018</v>
      </c>
      <c r="T22" s="23">
        <f t="shared" si="11"/>
        <v>1.336930111824403</v>
      </c>
      <c r="U22" s="23">
        <f t="shared" si="11"/>
        <v>1.1528912380385197</v>
      </c>
      <c r="V22" s="23">
        <f t="shared" si="11"/>
        <v>1.4442703077962753</v>
      </c>
      <c r="W22" s="23">
        <f t="shared" si="11"/>
        <v>0.91204975452455417</v>
      </c>
      <c r="X22" s="18"/>
      <c r="Z22" s="26">
        <f t="shared" ref="Z22:AE27" si="12">R29*AO15/SQRT(4)</f>
        <v>1.3898017593871315E-3</v>
      </c>
      <c r="AA22" s="26">
        <f t="shared" si="12"/>
        <v>2.3455124370519772E-3</v>
      </c>
      <c r="AB22" s="26">
        <f t="shared" si="12"/>
        <v>-1.2218437387795066E-3</v>
      </c>
      <c r="AC22" s="26">
        <f t="shared" si="12"/>
        <v>7.3875025876504324E-3</v>
      </c>
      <c r="AD22" s="26">
        <f t="shared" si="12"/>
        <v>-1.3094351064466658E-2</v>
      </c>
      <c r="AE22" s="26">
        <f t="shared" si="12"/>
        <v>3.1933780191566205E-3</v>
      </c>
    </row>
    <row r="23" spans="2:46" x14ac:dyDescent="0.3">
      <c r="C23" s="22">
        <f>'Fifth Iteration'!AK59</f>
        <v>0.10030165309731828</v>
      </c>
      <c r="D23" s="22">
        <f>'Fifth Iteration'!AL59</f>
        <v>-0.98210822203185943</v>
      </c>
      <c r="E23" s="22">
        <f>'Fifth Iteration'!AM59</f>
        <v>-0.64568547238137264</v>
      </c>
      <c r="F23" s="22">
        <f>'Fifth Iteration'!AN59</f>
        <v>0.10742395391021914</v>
      </c>
      <c r="L23" s="18"/>
      <c r="M23" s="18">
        <v>-1.1078417517609194</v>
      </c>
      <c r="N23" s="18">
        <v>-1.368386351461079</v>
      </c>
      <c r="O23" s="18">
        <v>-1.2708939961342107</v>
      </c>
      <c r="P23" s="18">
        <v>2.9971865253307781</v>
      </c>
      <c r="Q23" s="18"/>
      <c r="R23" s="23">
        <f t="shared" si="11"/>
        <v>2.0485290575319643</v>
      </c>
      <c r="S23" s="23">
        <f t="shared" si="11"/>
        <v>0.37857704630748978</v>
      </c>
      <c r="T23" s="23">
        <f t="shared" si="11"/>
        <v>2.0209735780819589</v>
      </c>
      <c r="U23" s="23">
        <f t="shared" si="11"/>
        <v>0.60229700933503094</v>
      </c>
      <c r="V23" s="23">
        <f t="shared" si="11"/>
        <v>1.9572933360030864</v>
      </c>
      <c r="W23" s="23">
        <f t="shared" si="11"/>
        <v>0.25846108704599358</v>
      </c>
      <c r="X23" s="18"/>
      <c r="Z23" s="26">
        <f t="shared" si="12"/>
        <v>4.9831409149132186E-3</v>
      </c>
      <c r="AA23" s="26">
        <f t="shared" si="12"/>
        <v>-4.233512570620857E-3</v>
      </c>
      <c r="AB23" s="26">
        <f t="shared" si="12"/>
        <v>6.6811145895499559E-3</v>
      </c>
      <c r="AC23" s="26">
        <f t="shared" si="12"/>
        <v>-1.2918707510177862E-2</v>
      </c>
      <c r="AD23" s="26">
        <f t="shared" si="12"/>
        <v>1.6605225638913094E-2</v>
      </c>
      <c r="AE23" s="26">
        <f t="shared" si="12"/>
        <v>-1.1117261062577551E-2</v>
      </c>
    </row>
    <row r="24" spans="2:46" x14ac:dyDescent="0.3">
      <c r="C24" s="22">
        <f>'Fifth Iteration'!AK60</f>
        <v>0.36305348919273939</v>
      </c>
      <c r="D24" s="22">
        <f>'Fifth Iteration'!AL60</f>
        <v>8.2294899198970289E-2</v>
      </c>
      <c r="E24" s="22">
        <f>'Fifth Iteration'!AM60</f>
        <v>-3.1587367196106525E-2</v>
      </c>
      <c r="F24" s="22">
        <f>'Fifth Iteration'!AN60</f>
        <v>-0.13821756456274051</v>
      </c>
      <c r="L24" s="18"/>
      <c r="M24" s="18"/>
      <c r="N24" s="18"/>
      <c r="O24" s="18"/>
      <c r="P24" s="18"/>
      <c r="Q24" s="18"/>
      <c r="R24" s="23">
        <f t="shared" si="11"/>
        <v>1.3982549192869609</v>
      </c>
      <c r="S24" s="23">
        <f t="shared" si="11"/>
        <v>1.0687463577570004</v>
      </c>
      <c r="T24" s="23">
        <f t="shared" si="11"/>
        <v>1.3776453359084107</v>
      </c>
      <c r="U24" s="23">
        <f t="shared" si="11"/>
        <v>1.1086815960497036</v>
      </c>
      <c r="V24" s="23">
        <f t="shared" si="11"/>
        <v>1.4366270226744751</v>
      </c>
      <c r="W24" s="23">
        <f t="shared" si="11"/>
        <v>0.94666845287933032</v>
      </c>
      <c r="X24" s="18"/>
      <c r="Z24" s="26">
        <f t="shared" si="12"/>
        <v>5.8416666999846307E-4</v>
      </c>
      <c r="AA24" s="26">
        <f t="shared" si="12"/>
        <v>2.7051523586424982E-3</v>
      </c>
      <c r="AB24" s="26">
        <f t="shared" si="12"/>
        <v>-1.9419902349342587E-3</v>
      </c>
      <c r="AC24" s="26">
        <f t="shared" si="12"/>
        <v>8.4007433620771881E-3</v>
      </c>
      <c r="AD24" s="26">
        <f t="shared" si="12"/>
        <v>-1.3587018789468932E-2</v>
      </c>
      <c r="AE24" s="26">
        <f t="shared" si="12"/>
        <v>3.8389466336850387E-3</v>
      </c>
    </row>
    <row r="25" spans="2:46" x14ac:dyDescent="0.3">
      <c r="C25" s="22">
        <f>'Fifth Iteration'!AK61</f>
        <v>-0.74544080080726072</v>
      </c>
      <c r="D25" s="22">
        <f>'Fifth Iteration'!AL61</f>
        <v>-0.36331134080102978</v>
      </c>
      <c r="E25" s="22">
        <f>'Fifth Iteration'!AM61</f>
        <v>-0.20408261719610654</v>
      </c>
      <c r="F25" s="22">
        <f>'Fifth Iteration'!AN61</f>
        <v>0.54089539543725962</v>
      </c>
      <c r="L25" s="19" t="s">
        <v>4</v>
      </c>
      <c r="M25" s="20"/>
      <c r="N25" s="18"/>
      <c r="O25" s="18"/>
      <c r="P25" s="18"/>
      <c r="Q25" s="18"/>
      <c r="R25" s="23">
        <f t="shared" si="11"/>
        <v>1.7693735306900995</v>
      </c>
      <c r="S25" s="23">
        <f t="shared" si="11"/>
        <v>0.34960757081045607</v>
      </c>
      <c r="T25" s="23">
        <f t="shared" si="11"/>
        <v>1.7544002996456529</v>
      </c>
      <c r="U25" s="23">
        <f t="shared" si="11"/>
        <v>0.56427556140404345</v>
      </c>
      <c r="V25" s="23">
        <f t="shared" si="11"/>
        <v>1.7128326892721453</v>
      </c>
      <c r="W25" s="23">
        <f t="shared" si="11"/>
        <v>0.2301640820821263</v>
      </c>
      <c r="X25" s="18"/>
      <c r="Z25" s="26">
        <f t="shared" si="12"/>
        <v>5.0026533361810345E-3</v>
      </c>
      <c r="AA25" s="26">
        <f t="shared" si="12"/>
        <v>-4.1384064483871797E-3</v>
      </c>
      <c r="AB25" s="26">
        <f t="shared" si="12"/>
        <v>6.7931032103307823E-3</v>
      </c>
      <c r="AC25" s="26">
        <f t="shared" si="12"/>
        <v>-1.248269643938912E-2</v>
      </c>
      <c r="AD25" s="26">
        <f t="shared" si="12"/>
        <v>1.641454956949602E-2</v>
      </c>
      <c r="AE25" s="26">
        <f t="shared" si="12"/>
        <v>-1.1589203228231535E-2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si="11"/>
        <v>2.1207883884707872</v>
      </c>
      <c r="S26" s="23">
        <f t="shared" si="11"/>
        <v>1.3344314976526563</v>
      </c>
      <c r="T26" s="23">
        <f t="shared" si="11"/>
        <v>2.0273271394125079</v>
      </c>
      <c r="U26" s="23">
        <f t="shared" si="11"/>
        <v>1.3802142858475754</v>
      </c>
      <c r="V26" s="23">
        <f t="shared" si="11"/>
        <v>2.2132380671888985</v>
      </c>
      <c r="W26" s="23">
        <f t="shared" si="11"/>
        <v>1.0918162756925598</v>
      </c>
      <c r="X26" s="18"/>
      <c r="Z26" s="26">
        <f t="shared" si="12"/>
        <v>3.4916466058179158E-4</v>
      </c>
      <c r="AA26" s="26">
        <f t="shared" si="12"/>
        <v>2.8054427947974397E-3</v>
      </c>
      <c r="AB26" s="26">
        <f t="shared" si="12"/>
        <v>-2.1479939476685582E-3</v>
      </c>
      <c r="AC26" s="26">
        <f t="shared" si="12"/>
        <v>8.9073210882779103E-3</v>
      </c>
      <c r="AD26" s="26">
        <f t="shared" si="12"/>
        <v>-1.3784887728447484E-2</v>
      </c>
      <c r="AE26" s="26">
        <f t="shared" si="12"/>
        <v>3.8709531324588944E-3</v>
      </c>
    </row>
    <row r="27" spans="2:46" x14ac:dyDescent="0.3">
      <c r="C27" s="22">
        <f>'Fifth Iteration'!AK38</f>
        <v>0.18155875171089078</v>
      </c>
      <c r="D27" s="22">
        <f>'Fifth Iteration'!AL38</f>
        <v>-0.8717704682891092</v>
      </c>
      <c r="E27" s="22">
        <f>'Fifth Iteration'!AM38</f>
        <v>0.17179159171089078</v>
      </c>
      <c r="F27" s="22">
        <f>'Fifth Iteration'!AN38</f>
        <v>-0.18279152828910922</v>
      </c>
      <c r="L27" s="18"/>
      <c r="M27" s="18">
        <f t="array" ref="M27:P32">MMULT(C4:H9,C27:F32)</f>
        <v>-1.430517250645827</v>
      </c>
      <c r="N27" s="18">
        <v>-0.962107833555227</v>
      </c>
      <c r="O27" s="18">
        <v>0.41497958066097318</v>
      </c>
      <c r="P27" s="18">
        <v>2.1143984292985731</v>
      </c>
      <c r="Q27" s="18"/>
      <c r="R27" s="18"/>
      <c r="S27" s="18"/>
      <c r="T27" s="18"/>
      <c r="U27" s="18"/>
      <c r="V27" s="18"/>
      <c r="W27" s="18"/>
      <c r="X27" s="18"/>
      <c r="Z27" s="26">
        <f t="shared" si="12"/>
        <v>4.2016361942550807E-3</v>
      </c>
      <c r="AA27" s="26">
        <f t="shared" si="12"/>
        <v>-4.6176582186551775E-3</v>
      </c>
      <c r="AB27" s="26">
        <f t="shared" si="12"/>
        <v>6.0202239809472192E-3</v>
      </c>
      <c r="AC27" s="26">
        <f t="shared" si="12"/>
        <v>-1.2222940640207907E-2</v>
      </c>
      <c r="AD27" s="26">
        <f t="shared" si="12"/>
        <v>1.707163246210373E-2</v>
      </c>
      <c r="AE27" s="26">
        <f t="shared" si="12"/>
        <v>-1.0452893778442947E-2</v>
      </c>
    </row>
    <row r="28" spans="2:46" x14ac:dyDescent="0.3">
      <c r="C28" s="22">
        <f>'Fifth Iteration'!AK39</f>
        <v>-0.56173325242163807</v>
      </c>
      <c r="D28" s="22">
        <f>'Fifth Iteration'!AL39</f>
        <v>8.2565887578361932E-2</v>
      </c>
      <c r="E28" s="22">
        <f>'Fifth Iteration'!AM39</f>
        <v>0.29222750757836191</v>
      </c>
      <c r="F28" s="22">
        <f>'Fifth Iteration'!AN39</f>
        <v>0.24236780757836196</v>
      </c>
      <c r="L28" s="18"/>
      <c r="M28" s="18">
        <v>-2.1707247322139653</v>
      </c>
      <c r="N28" s="18">
        <v>3.6277855883014722E-2</v>
      </c>
      <c r="O28" s="18">
        <v>0.94498831274247475</v>
      </c>
      <c r="P28" s="18">
        <v>1.1111803714545547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'Fifth Iteration'!AK40</f>
        <v>-0.46202902372777477</v>
      </c>
      <c r="D29" s="22">
        <f>'Fifth Iteration'!AL40</f>
        <v>-0.19702645372777478</v>
      </c>
      <c r="E29" s="22">
        <f>'Fifth Iteration'!AM40</f>
        <v>0.12321145627222525</v>
      </c>
      <c r="F29" s="22">
        <f>'Fifth Iteration'!AN40</f>
        <v>0.44535229627222528</v>
      </c>
      <c r="L29" s="18"/>
      <c r="M29" s="18">
        <v>-1.3772418514101785</v>
      </c>
      <c r="N29" s="18">
        <v>-1.0907031444101785</v>
      </c>
      <c r="O29" s="18">
        <v>0.49806267558982154</v>
      </c>
      <c r="P29" s="18">
        <v>2.1456921275898218</v>
      </c>
      <c r="Q29" s="18"/>
      <c r="R29" s="24">
        <f t="shared" ref="R29:W34" si="13">R21/SUM($R21:$W21)</f>
        <v>0.29263809546758629</v>
      </c>
      <c r="S29" s="24">
        <f t="shared" si="13"/>
        <v>4.3206730800289257E-2</v>
      </c>
      <c r="T29" s="24">
        <f t="shared" si="13"/>
        <v>0.28760806144918499</v>
      </c>
      <c r="U29" s="24">
        <f t="shared" si="13"/>
        <v>7.144413720799421E-2</v>
      </c>
      <c r="V29" s="24">
        <f t="shared" si="13"/>
        <v>0.27605615768647895</v>
      </c>
      <c r="W29" s="24">
        <f t="shared" si="13"/>
        <v>2.9046817388466307E-2</v>
      </c>
      <c r="X29" s="18"/>
      <c r="Z29" s="1" t="s">
        <v>14</v>
      </c>
      <c r="AG29" s="1" t="s">
        <v>12</v>
      </c>
    </row>
    <row r="30" spans="2:46" x14ac:dyDescent="0.3">
      <c r="C30" s="22">
        <f>'Fifth Iteration'!AK41</f>
        <v>-0.24456578576578633</v>
      </c>
      <c r="D30" s="22">
        <f>'Fifth Iteration'!AL41</f>
        <v>-9.7808155765786373E-2</v>
      </c>
      <c r="E30" s="22">
        <f>'Fifth Iteration'!AM41</f>
        <v>-0.5581461557657863</v>
      </c>
      <c r="F30" s="22">
        <f>'Fifth Iteration'!AN41</f>
        <v>-0.60308197576578637</v>
      </c>
      <c r="L30" s="18"/>
      <c r="M30" s="18">
        <v>-1.6315268036583013</v>
      </c>
      <c r="N30" s="18">
        <v>-6.5293922367361215E-2</v>
      </c>
      <c r="O30" s="18">
        <v>0.59876408821101879</v>
      </c>
      <c r="P30" s="18">
        <v>0.80657006634725892</v>
      </c>
      <c r="Q30" s="18"/>
      <c r="R30" s="24">
        <f t="shared" si="13"/>
        <v>0.18675132078234122</v>
      </c>
      <c r="S30" s="24">
        <f t="shared" si="13"/>
        <v>0.15159728366162073</v>
      </c>
      <c r="T30" s="24">
        <f t="shared" si="13"/>
        <v>0.1825331947651315</v>
      </c>
      <c r="U30" s="24">
        <f t="shared" si="13"/>
        <v>0.15740607458435249</v>
      </c>
      <c r="V30" s="24">
        <f t="shared" si="13"/>
        <v>0.19718852246264584</v>
      </c>
      <c r="W30" s="24">
        <f t="shared" si="13"/>
        <v>0.12452360374390818</v>
      </c>
      <c r="X30" s="18"/>
      <c r="Z30" s="28">
        <f t="array" ref="Z30:AC35">MMULT(TRANSPOSE(Z22:AE27),M9:P14)</f>
        <v>-7.7712397432996728E-3</v>
      </c>
      <c r="AA30" s="28">
        <v>-6.5639393619963083E-3</v>
      </c>
      <c r="AB30" s="28">
        <v>2.6495418793117075E-2</v>
      </c>
      <c r="AC30" s="28">
        <v>2.9386409509662018E-3</v>
      </c>
      <c r="AG30" s="28">
        <f t="array" ref="AG30:AJ35">MMULT(TRANSPOSE(R29:W34),Z15:AC20)</f>
        <v>-9.5275170382359151E-2</v>
      </c>
      <c r="AH30" s="28">
        <v>-9.5275170382359151E-2</v>
      </c>
      <c r="AI30" s="28">
        <v>-9.5275170382359151E-2</v>
      </c>
      <c r="AJ30" s="28">
        <v>-9.5275170382359151E-2</v>
      </c>
    </row>
    <row r="31" spans="2:46" x14ac:dyDescent="0.3">
      <c r="C31" s="22">
        <f>'Fifth Iteration'!AK42</f>
        <v>0.41728691383655042</v>
      </c>
      <c r="D31" s="22">
        <f>'Fifth Iteration'!AL42</f>
        <v>0.68914401383655033</v>
      </c>
      <c r="E31" s="22">
        <f>'Fifth Iteration'!AM42</f>
        <v>-2.4981056163449592E-2</v>
      </c>
      <c r="F31" s="22">
        <f>'Fifth Iteration'!AN42</f>
        <v>0.51279045383655031</v>
      </c>
      <c r="L31" s="18"/>
      <c r="M31" s="18">
        <v>-1.362391546386623</v>
      </c>
      <c r="N31" s="18">
        <v>-1.0347969533564232</v>
      </c>
      <c r="O31" s="18">
        <v>0.54478779804897692</v>
      </c>
      <c r="P31" s="18">
        <v>2.2156718249281768</v>
      </c>
      <c r="Q31" s="18"/>
      <c r="R31" s="24">
        <f t="shared" si="13"/>
        <v>0.28192844655649413</v>
      </c>
      <c r="S31" s="24">
        <f t="shared" si="13"/>
        <v>5.2101598547010672E-2</v>
      </c>
      <c r="T31" s="24">
        <f t="shared" si="13"/>
        <v>0.27813612860674586</v>
      </c>
      <c r="U31" s="24">
        <f t="shared" si="13"/>
        <v>8.2891018598498928E-2</v>
      </c>
      <c r="V31" s="24">
        <f t="shared" si="13"/>
        <v>0.26937214663654729</v>
      </c>
      <c r="W31" s="24">
        <f t="shared" si="13"/>
        <v>3.5570661054703044E-2</v>
      </c>
      <c r="X31" s="18"/>
      <c r="Z31" s="28">
        <v>4.917833620774829E-3</v>
      </c>
      <c r="AA31" s="28">
        <v>3.8573360626620781E-3</v>
      </c>
      <c r="AB31" s="28">
        <v>-3.2826143914685052E-2</v>
      </c>
      <c r="AC31" s="28">
        <v>-1.7610289069521806E-2</v>
      </c>
      <c r="AG31" s="28">
        <v>0.14907800770390256</v>
      </c>
      <c r="AH31" s="28">
        <v>0.14907800770390256</v>
      </c>
      <c r="AI31" s="28">
        <v>0.14907800770390256</v>
      </c>
      <c r="AJ31" s="28">
        <v>0.14907800770390256</v>
      </c>
    </row>
    <row r="32" spans="2:46" x14ac:dyDescent="0.3">
      <c r="C32" s="22">
        <f>'Fifth Iteration'!AK43</f>
        <v>0.19184201383655039</v>
      </c>
      <c r="D32" s="22">
        <f>'Fifth Iteration'!AL43</f>
        <v>-0.31153587616344958</v>
      </c>
      <c r="E32" s="22">
        <f>'Fifth Iteration'!AM43</f>
        <v>0.19172180383655038</v>
      </c>
      <c r="F32" s="22">
        <f>'Fifth Iteration'!AN43</f>
        <v>0.78004228383655039</v>
      </c>
      <c r="L32" s="18"/>
      <c r="M32" s="18">
        <v>-2.7823317691440628</v>
      </c>
      <c r="N32" s="18">
        <v>0.10389464985593705</v>
      </c>
      <c r="O32" s="18">
        <v>1.1246776398559371</v>
      </c>
      <c r="P32" s="18">
        <v>1.2338989338559372</v>
      </c>
      <c r="Q32" s="18"/>
      <c r="R32" s="24">
        <f t="shared" si="13"/>
        <v>0.19058561259321338</v>
      </c>
      <c r="S32" s="24">
        <f t="shared" si="13"/>
        <v>0.14567277861160963</v>
      </c>
      <c r="T32" s="24">
        <f t="shared" si="13"/>
        <v>0.18777647527546668</v>
      </c>
      <c r="U32" s="24">
        <f t="shared" si="13"/>
        <v>0.15111605061379363</v>
      </c>
      <c r="V32" s="24">
        <f t="shared" si="13"/>
        <v>0.19581582543189152</v>
      </c>
      <c r="W32" s="24">
        <f t="shared" si="13"/>
        <v>0.12903325747402519</v>
      </c>
      <c r="X32" s="18"/>
      <c r="Z32" s="28">
        <v>-8.7382644836608014E-3</v>
      </c>
      <c r="AA32" s="28">
        <v>-7.0098074490007947E-3</v>
      </c>
      <c r="AB32" s="28">
        <v>4.3187630730676739E-2</v>
      </c>
      <c r="AC32" s="28">
        <v>1.6590996516017677E-2</v>
      </c>
      <c r="AG32" s="28">
        <v>-9.8410101890167134E-2</v>
      </c>
      <c r="AH32" s="28">
        <v>-9.8410101890167134E-2</v>
      </c>
      <c r="AI32" s="28">
        <v>-9.8410101890167134E-2</v>
      </c>
      <c r="AJ32" s="28">
        <v>-9.8410101890167134E-2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3"/>
        <v>0.27730286025212092</v>
      </c>
      <c r="S33" s="24">
        <f t="shared" si="13"/>
        <v>5.4791810587176332E-2</v>
      </c>
      <c r="T33" s="24">
        <f t="shared" si="13"/>
        <v>0.27495619928776172</v>
      </c>
      <c r="U33" s="24">
        <f t="shared" si="13"/>
        <v>8.8435383729677089E-2</v>
      </c>
      <c r="V33" s="24">
        <f t="shared" si="13"/>
        <v>0.26844156738529185</v>
      </c>
      <c r="W33" s="24">
        <f t="shared" si="13"/>
        <v>3.6072178757972126E-2</v>
      </c>
      <c r="X33" s="18"/>
      <c r="Z33" s="28">
        <v>1.3643005704654454E-2</v>
      </c>
      <c r="AA33" s="28">
        <v>1.0271702035087853E-2</v>
      </c>
      <c r="AB33" s="28">
        <v>-9.5366813254682797E-2</v>
      </c>
      <c r="AC33" s="28">
        <v>-5.3474957333757789E-2</v>
      </c>
      <c r="AG33" s="28">
        <v>0.11419945456367994</v>
      </c>
      <c r="AH33" s="28">
        <v>0.11419945456367994</v>
      </c>
      <c r="AI33" s="28">
        <v>0.11419945456367994</v>
      </c>
      <c r="AJ33" s="28">
        <v>0.11419945456367994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3"/>
        <v>0.20857856402827313</v>
      </c>
      <c r="S34" s="24">
        <f t="shared" si="13"/>
        <v>0.1312407249528483</v>
      </c>
      <c r="T34" s="24">
        <f t="shared" si="13"/>
        <v>0.19938669310572388</v>
      </c>
      <c r="U34" s="24">
        <f t="shared" si="13"/>
        <v>0.13574344114594875</v>
      </c>
      <c r="V34" s="24">
        <f t="shared" si="13"/>
        <v>0.21767094747243326</v>
      </c>
      <c r="W34" s="24">
        <f t="shared" si="13"/>
        <v>0.10737962929477259</v>
      </c>
      <c r="X34" s="18"/>
      <c r="Z34" s="28">
        <v>-1.649270979822693E-2</v>
      </c>
      <c r="AA34" s="28">
        <v>-1.2018368887283568E-2</v>
      </c>
      <c r="AB34" s="28">
        <v>0.13359825794683938</v>
      </c>
      <c r="AC34" s="28">
        <v>8.2610343002283676E-2</v>
      </c>
      <c r="AG34" s="28">
        <v>-6.5058187852054916E-2</v>
      </c>
      <c r="AH34" s="28">
        <v>-6.5058187852054916E-2</v>
      </c>
      <c r="AI34" s="28">
        <v>-6.5058187852054916E-2</v>
      </c>
      <c r="AJ34" s="28">
        <v>-6.5058187852054916E-2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1.4441374699758123E-2</v>
      </c>
      <c r="AA35" s="28">
        <v>1.1463077600530744E-2</v>
      </c>
      <c r="AB35" s="28">
        <v>-7.5088350301265316E-2</v>
      </c>
      <c r="AC35" s="28">
        <v>-3.1054734065987959E-2</v>
      </c>
      <c r="AG35" s="28">
        <v>0.1374725070803777</v>
      </c>
      <c r="AH35" s="28">
        <v>0.1374725070803777</v>
      </c>
      <c r="AI35" s="28">
        <v>0.1374725070803777</v>
      </c>
      <c r="AJ35" s="28">
        <v>0.1374725070803777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2.0504129203418606E-3</v>
      </c>
      <c r="AA38" s="28">
        <v>2.130252341639224E-2</v>
      </c>
      <c r="AB38" s="28">
        <v>-5.6391161300352512E-3</v>
      </c>
      <c r="AC38" s="28">
        <v>2.5902710143443176E-2</v>
      </c>
      <c r="AF38">
        <f t="array" ref="AF38:AI43">MMULT(TRANSPOSE(C4:H9),AG30:AJ35)</f>
        <v>-0.23757674392948647</v>
      </c>
      <c r="AG38">
        <v>-0.23757674392948647</v>
      </c>
      <c r="AH38">
        <v>-0.23757674392948647</v>
      </c>
      <c r="AI38">
        <v>-0.23757674392948647</v>
      </c>
      <c r="AK38" s="22">
        <f t="shared" ref="AK38:AN43" si="14">C27-0.02*AF38</f>
        <v>0.18631028658948051</v>
      </c>
      <c r="AL38" s="22">
        <f t="shared" si="14"/>
        <v>-0.8670189334105195</v>
      </c>
      <c r="AM38" s="22">
        <f t="shared" si="14"/>
        <v>0.17654312658948051</v>
      </c>
      <c r="AN38" s="22">
        <f t="shared" si="14"/>
        <v>-0.17803999341051949</v>
      </c>
    </row>
    <row r="39" spans="12:40" x14ac:dyDescent="0.3">
      <c r="Z39" s="28">
        <v>-2.1103780913070882E-3</v>
      </c>
      <c r="AA39" s="28">
        <v>-4.7102077634775516E-2</v>
      </c>
      <c r="AB39" s="28">
        <v>1.4522076785091778E-2</v>
      </c>
      <c r="AC39" s="28">
        <v>-6.3145386323016472E-2</v>
      </c>
      <c r="AF39">
        <v>0.96677950043599714</v>
      </c>
      <c r="AG39">
        <v>0.96677950043599714</v>
      </c>
      <c r="AH39">
        <v>0.96677950043599714</v>
      </c>
      <c r="AI39">
        <v>0.96677950043599714</v>
      </c>
      <c r="AK39" s="22">
        <f t="shared" si="14"/>
        <v>-0.58106884243035806</v>
      </c>
      <c r="AL39" s="22">
        <f t="shared" si="14"/>
        <v>6.3230297569641991E-2</v>
      </c>
      <c r="AM39" s="22">
        <f t="shared" si="14"/>
        <v>0.27289191756964198</v>
      </c>
      <c r="AN39" s="22">
        <f t="shared" si="14"/>
        <v>0.22303221756964201</v>
      </c>
    </row>
    <row r="40" spans="12:40" x14ac:dyDescent="0.3">
      <c r="Z40" s="28">
        <v>2.2442934063618674E-3</v>
      </c>
      <c r="AA40" s="28">
        <v>2.4832116984124061E-2</v>
      </c>
      <c r="AB40" s="28">
        <v>-6.5169601237016093E-3</v>
      </c>
      <c r="AC40" s="28">
        <v>3.0191891542471216E-2</v>
      </c>
      <c r="AF40">
        <v>-0.37548041102578344</v>
      </c>
      <c r="AG40">
        <v>-0.37548041102578344</v>
      </c>
      <c r="AH40">
        <v>-0.37548041102578344</v>
      </c>
      <c r="AI40">
        <v>-0.37548041102578344</v>
      </c>
      <c r="AK40" s="22">
        <f t="shared" si="14"/>
        <v>-0.45451941550725911</v>
      </c>
      <c r="AL40" s="22">
        <f t="shared" si="14"/>
        <v>-0.18951684550725911</v>
      </c>
      <c r="AM40" s="22">
        <f t="shared" si="14"/>
        <v>0.13072106449274093</v>
      </c>
      <c r="AN40" s="22">
        <f t="shared" si="14"/>
        <v>0.45286190449274094</v>
      </c>
    </row>
    <row r="41" spans="12:40" x14ac:dyDescent="0.3">
      <c r="Z41" s="28">
        <v>-1.8599260886656369E-3</v>
      </c>
      <c r="AA41" s="28">
        <v>-4.6842443396063208E-2</v>
      </c>
      <c r="AB41" s="28">
        <v>1.4859784699719245E-2</v>
      </c>
      <c r="AC41" s="28">
        <v>-6.3818000237374953E-2</v>
      </c>
      <c r="AF41">
        <v>-0.15690136855791392</v>
      </c>
      <c r="AG41">
        <v>-0.15690136855791392</v>
      </c>
      <c r="AH41">
        <v>-0.15690136855791392</v>
      </c>
      <c r="AI41">
        <v>-0.15690136855791392</v>
      </c>
      <c r="AK41" s="22">
        <f t="shared" si="14"/>
        <v>-0.24142775839462804</v>
      </c>
      <c r="AL41" s="22">
        <f t="shared" si="14"/>
        <v>-9.46701283946281E-2</v>
      </c>
      <c r="AM41" s="22">
        <f t="shared" si="14"/>
        <v>-0.55500812839462799</v>
      </c>
      <c r="AN41" s="22">
        <f t="shared" si="14"/>
        <v>-0.59994394839462806</v>
      </c>
    </row>
    <row r="42" spans="12:40" x14ac:dyDescent="0.3">
      <c r="Z42" s="28">
        <v>2.4043436484628526E-3</v>
      </c>
      <c r="AA42" s="28">
        <v>2.6007096712339847E-2</v>
      </c>
      <c r="AB42" s="28">
        <v>-6.6516301659240492E-3</v>
      </c>
      <c r="AC42" s="28">
        <v>3.1230872039257847E-2</v>
      </c>
      <c r="AF42">
        <v>-0.25874346012458121</v>
      </c>
      <c r="AG42">
        <v>-0.25874346012458121</v>
      </c>
      <c r="AH42">
        <v>-0.25874346012458121</v>
      </c>
      <c r="AI42">
        <v>-0.25874346012458121</v>
      </c>
      <c r="AK42" s="22">
        <f t="shared" si="14"/>
        <v>0.42246178303904203</v>
      </c>
      <c r="AL42" s="22">
        <f t="shared" si="14"/>
        <v>0.69431888303904199</v>
      </c>
      <c r="AM42" s="22">
        <f t="shared" si="14"/>
        <v>-1.9806186960957969E-2</v>
      </c>
      <c r="AN42" s="22">
        <f t="shared" si="14"/>
        <v>0.51796532303904197</v>
      </c>
    </row>
    <row r="43" spans="12:40" x14ac:dyDescent="0.3">
      <c r="Z43" s="28">
        <v>-2.0664602531437239E-3</v>
      </c>
      <c r="AA43" s="28">
        <v>-4.539547278999647E-2</v>
      </c>
      <c r="AB43" s="28">
        <v>1.4039329379705458E-2</v>
      </c>
      <c r="AC43" s="28">
        <v>-6.0938455939408609E-2</v>
      </c>
      <c r="AF43">
        <v>-0.25874346012458121</v>
      </c>
      <c r="AG43">
        <v>-0.25874346012458121</v>
      </c>
      <c r="AH43">
        <v>-0.25874346012458121</v>
      </c>
      <c r="AI43">
        <v>-0.25874346012458121</v>
      </c>
      <c r="AK43" s="22">
        <f t="shared" si="14"/>
        <v>0.19701688303904202</v>
      </c>
      <c r="AL43" s="22">
        <f t="shared" si="14"/>
        <v>-0.30636100696095797</v>
      </c>
      <c r="AM43" s="22">
        <f t="shared" si="14"/>
        <v>0.19689667303904201</v>
      </c>
      <c r="AN43" s="22">
        <f t="shared" si="14"/>
        <v>0.78521715303904205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6.2056854925940531E-3</v>
      </c>
      <c r="AG48">
        <v>6.6391604887131001E-2</v>
      </c>
      <c r="AH48">
        <v>-1.7247966093452811E-2</v>
      </c>
      <c r="AI48">
        <v>8.0214425747703433E-2</v>
      </c>
      <c r="AK48" s="22">
        <f t="shared" ref="AK48:AN53" si="15">C13-0.02*AF48</f>
        <v>0.24790158632682607</v>
      </c>
      <c r="AL48" s="22">
        <f t="shared" si="15"/>
        <v>-6.6732585108417689E-2</v>
      </c>
      <c r="AM48" s="22">
        <f t="shared" si="15"/>
        <v>0.32340952819193819</v>
      </c>
      <c r="AN48" s="22">
        <f t="shared" si="15"/>
        <v>0.76560460666815278</v>
      </c>
    </row>
    <row r="49" spans="27:40" x14ac:dyDescent="0.3">
      <c r="AF49">
        <v>-1.1617777488660854E-2</v>
      </c>
      <c r="AG49">
        <v>-0.34443127374358262</v>
      </c>
      <c r="AH49">
        <v>0.11063541085387474</v>
      </c>
      <c r="AI49">
        <v>-0.47350050947626154</v>
      </c>
      <c r="AK49" s="22">
        <f t="shared" si="15"/>
        <v>-0.1029621954298396</v>
      </c>
      <c r="AL49" s="22">
        <f t="shared" si="15"/>
        <v>-0.16125611412995833</v>
      </c>
      <c r="AM49" s="22">
        <f t="shared" si="15"/>
        <v>0.81050562686181649</v>
      </c>
      <c r="AN49" s="22">
        <f t="shared" si="15"/>
        <v>0.26763036483384633</v>
      </c>
    </row>
    <row r="50" spans="27:40" x14ac:dyDescent="0.3">
      <c r="AF50">
        <v>1.4060385492383292E-2</v>
      </c>
      <c r="AG50">
        <v>7.7085217517733257E-2</v>
      </c>
      <c r="AH50">
        <v>-1.3001928394466244E-2</v>
      </c>
      <c r="AI50">
        <v>7.4074578675716707E-2</v>
      </c>
      <c r="AK50" s="22">
        <f t="shared" si="15"/>
        <v>-0.23148712154428702</v>
      </c>
      <c r="AL50" s="22">
        <f t="shared" si="15"/>
        <v>0.26358768343973754</v>
      </c>
      <c r="AM50" s="22">
        <f t="shared" si="15"/>
        <v>-0.22618870256923915</v>
      </c>
      <c r="AN50" s="22">
        <f t="shared" si="15"/>
        <v>-0.25902076121494544</v>
      </c>
    </row>
    <row r="51" spans="27:40" x14ac:dyDescent="0.3">
      <c r="AF51">
        <v>4.7907908020308702E-3</v>
      </c>
      <c r="AG51">
        <v>3.6759767792286638E-2</v>
      </c>
      <c r="AH51">
        <v>-8.1897209417412745E-3</v>
      </c>
      <c r="AI51">
        <v>4.0700434701474331E-2</v>
      </c>
      <c r="AK51" s="22">
        <f t="shared" si="15"/>
        <v>0.12147893001326333</v>
      </c>
      <c r="AL51" s="22">
        <f t="shared" si="15"/>
        <v>-0.95738258486655425</v>
      </c>
      <c r="AM51" s="22">
        <f t="shared" si="15"/>
        <v>-0.86150080169239907</v>
      </c>
      <c r="AN51" s="22">
        <f t="shared" si="15"/>
        <v>-0.28501047440348559</v>
      </c>
    </row>
    <row r="52" spans="27:40" x14ac:dyDescent="0.3">
      <c r="AF52">
        <v>6.6990499751665806E-3</v>
      </c>
      <c r="AG52">
        <v>7.2141737112856152E-2</v>
      </c>
      <c r="AH52">
        <v>-1.8807706419660911E-2</v>
      </c>
      <c r="AI52">
        <v>8.7325473725172242E-2</v>
      </c>
      <c r="AK52" s="22">
        <f t="shared" si="15"/>
        <v>-0.50693791086914397</v>
      </c>
      <c r="AL52" s="22">
        <f t="shared" si="15"/>
        <v>0.15981866920971191</v>
      </c>
      <c r="AM52" s="22">
        <f t="shared" si="15"/>
        <v>-0.45452665073349036</v>
      </c>
      <c r="AN52" s="22">
        <f t="shared" si="15"/>
        <v>-0.70147396747210267</v>
      </c>
    </row>
    <row r="53" spans="27:40" x14ac:dyDescent="0.3">
      <c r="AF53">
        <v>6.6990499751665806E-3</v>
      </c>
      <c r="AG53">
        <v>7.2141737112856152E-2</v>
      </c>
      <c r="AH53">
        <v>-1.8807706419660911E-2</v>
      </c>
      <c r="AI53">
        <v>8.7325473725172242E-2</v>
      </c>
      <c r="AK53" s="22">
        <f t="shared" si="15"/>
        <v>0.73230202913085607</v>
      </c>
      <c r="AL53" s="22">
        <f t="shared" si="15"/>
        <v>-0.11019315079028809</v>
      </c>
      <c r="AM53" s="22">
        <f t="shared" si="15"/>
        <v>3.3249489266509703E-2</v>
      </c>
      <c r="AN53" s="22">
        <f t="shared" si="15"/>
        <v>-0.7076962074721026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-3.0653480178071763E-2</v>
      </c>
      <c r="AG56">
        <v>-2.3730877814014326E-2</v>
      </c>
      <c r="AH56">
        <v>0.19031956526339028</v>
      </c>
      <c r="AI56">
        <v>9.6360632705644295E-2</v>
      </c>
      <c r="AK56" s="22">
        <f t="shared" ref="AK56:AN61" si="16">C20-0.02*AF56</f>
        <v>-0.27731911569192552</v>
      </c>
      <c r="AL56" s="22">
        <f t="shared" si="16"/>
        <v>5.2785658062253292E-2</v>
      </c>
      <c r="AM56" s="22">
        <f t="shared" si="16"/>
        <v>-0.55512995205398774</v>
      </c>
      <c r="AN56" s="22">
        <f t="shared" si="16"/>
        <v>0.19719413951452025</v>
      </c>
    </row>
    <row r="57" spans="27:40" x14ac:dyDescent="0.3">
      <c r="AF57">
        <v>6.6802797045478479E-2</v>
      </c>
      <c r="AG57">
        <v>5.2375606962004245E-2</v>
      </c>
      <c r="AH57">
        <v>-0.38628415198784882</v>
      </c>
      <c r="AI57">
        <v>-0.18185973767076527</v>
      </c>
      <c r="AK57" s="22">
        <f t="shared" si="16"/>
        <v>-0.28104206495980799</v>
      </c>
      <c r="AL57" s="22">
        <f t="shared" si="16"/>
        <v>-0.13557749795160548</v>
      </c>
      <c r="AM57" s="22">
        <f t="shared" si="16"/>
        <v>-0.37750790696713954</v>
      </c>
      <c r="AN57" s="22">
        <f t="shared" si="16"/>
        <v>0.89131534182421368</v>
      </c>
    </row>
    <row r="58" spans="27:40" x14ac:dyDescent="0.3">
      <c r="AF58">
        <v>-6.6004428050374819E-2</v>
      </c>
      <c r="AG58">
        <v>-5.1184231396561329E-2</v>
      </c>
      <c r="AH58">
        <v>0.40656261494126639</v>
      </c>
      <c r="AI58">
        <v>0.20427996093853512</v>
      </c>
      <c r="AK58" s="22">
        <f t="shared" si="16"/>
        <v>-1.7788123053513738E-2</v>
      </c>
      <c r="AL58" s="22">
        <f t="shared" si="16"/>
        <v>-0.53461025697412834</v>
      </c>
      <c r="AM58" s="22">
        <f t="shared" si="16"/>
        <v>0.45561475330896167</v>
      </c>
      <c r="AN58" s="22">
        <f t="shared" si="16"/>
        <v>-0.58983884834425171</v>
      </c>
    </row>
    <row r="59" spans="27:40" x14ac:dyDescent="0.3">
      <c r="AF59">
        <v>-2.1277048704240128E-2</v>
      </c>
      <c r="AG59">
        <v>-1.660846388248088E-2</v>
      </c>
      <c r="AH59">
        <v>0.12736041067541298</v>
      </c>
      <c r="AI59">
        <v>6.2186371623708929E-2</v>
      </c>
      <c r="AK59" s="22">
        <f t="shared" si="16"/>
        <v>0.10072719407140308</v>
      </c>
      <c r="AL59" s="22">
        <f t="shared" si="16"/>
        <v>-0.98177605275420987</v>
      </c>
      <c r="AM59" s="22">
        <f t="shared" si="16"/>
        <v>-0.64823268059488093</v>
      </c>
      <c r="AN59" s="22">
        <f t="shared" si="16"/>
        <v>0.10618022647774496</v>
      </c>
    </row>
    <row r="60" spans="27:40" x14ac:dyDescent="0.3">
      <c r="AF60">
        <v>-3.3002214025187403E-2</v>
      </c>
      <c r="AG60">
        <v>-2.5592115698280671E-2</v>
      </c>
      <c r="AH60">
        <v>0.20328130747063319</v>
      </c>
      <c r="AI60">
        <v>0.10213998046926756</v>
      </c>
      <c r="AK60" s="22">
        <f t="shared" si="16"/>
        <v>0.36371353347324314</v>
      </c>
      <c r="AL60" s="22">
        <f t="shared" si="16"/>
        <v>8.2806741512935905E-2</v>
      </c>
      <c r="AM60" s="22">
        <f t="shared" si="16"/>
        <v>-3.5652993345519191E-2</v>
      </c>
      <c r="AN60" s="22">
        <f t="shared" si="16"/>
        <v>-0.14026036417212587</v>
      </c>
    </row>
    <row r="61" spans="27:40" x14ac:dyDescent="0.3">
      <c r="AF61">
        <v>-3.3002214025187403E-2</v>
      </c>
      <c r="AG61">
        <v>-2.5592115698280671E-2</v>
      </c>
      <c r="AH61">
        <v>0.20328130747063319</v>
      </c>
      <c r="AI61">
        <v>0.10213998046926756</v>
      </c>
      <c r="AK61" s="22">
        <f t="shared" si="16"/>
        <v>-0.74478075652675702</v>
      </c>
      <c r="AL61" s="22">
        <f t="shared" si="16"/>
        <v>-0.36279949848706416</v>
      </c>
      <c r="AM61" s="22">
        <f t="shared" si="16"/>
        <v>-0.20814824334551921</v>
      </c>
      <c r="AN61" s="22">
        <f t="shared" si="16"/>
        <v>0.53885259582787426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096B-9A0C-4ED3-B027-A5F881B2E7DC}">
  <dimension ref="B3:AT61"/>
  <sheetViews>
    <sheetView zoomScale="70" zoomScaleNormal="70" workbookViewId="0">
      <selection activeCell="C4" sqref="C4:I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t="s">
        <v>7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1.8425136106048932</v>
      </c>
      <c r="S6" s="18">
        <v>-2.0602354598548667</v>
      </c>
      <c r="T6" s="18">
        <v>1.8081873504213239</v>
      </c>
      <c r="U6" s="18">
        <v>-1.0420681968176932</v>
      </c>
      <c r="V6" s="18">
        <v>1.7252335224932551</v>
      </c>
      <c r="W6" s="18">
        <v>-2.8647962257225963</v>
      </c>
      <c r="X6" s="18"/>
      <c r="Z6">
        <f t="array" ref="Z6:AC11">MMULT(R29:W34,M27:P32)</f>
        <v>-1.4671612759315904</v>
      </c>
      <c r="AA6">
        <v>-0.87382232514536584</v>
      </c>
      <c r="AB6">
        <v>0.54153170852068355</v>
      </c>
      <c r="AC6">
        <v>2.0058126337318356</v>
      </c>
      <c r="AE6" s="25">
        <f>1/(1+EXP(-SUM(Z6:AC6)))</f>
        <v>0.55140788196989476</v>
      </c>
      <c r="AG6" s="25">
        <f t="shared" ref="AG6:AG11" si="0">AE6-J4</f>
        <v>-0.44859211803010524</v>
      </c>
      <c r="AI6" s="25">
        <f>-J4*LN(AE6)-(1-J4)*LN(1-AE6)</f>
        <v>0.59528048602617112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L7" s="19" t="s">
        <v>2</v>
      </c>
      <c r="M7" s="20"/>
      <c r="N7" s="18"/>
      <c r="O7" s="18"/>
      <c r="P7" s="18"/>
      <c r="Q7" s="18"/>
      <c r="R7" s="18">
        <v>0.4900757906637036</v>
      </c>
      <c r="S7" s="18">
        <v>0.28699940234363863</v>
      </c>
      <c r="T7" s="18">
        <v>0.4462187736115914</v>
      </c>
      <c r="U7" s="18">
        <v>0.31749053439306252</v>
      </c>
      <c r="V7" s="18">
        <v>0.60247029865634361</v>
      </c>
      <c r="W7" s="18">
        <v>-6.7167611819814121E-2</v>
      </c>
      <c r="X7" s="18"/>
      <c r="Z7">
        <v>-1.7537164031281773</v>
      </c>
      <c r="AA7">
        <v>-0.55837762323574491</v>
      </c>
      <c r="AB7">
        <v>0.653827135803419</v>
      </c>
      <c r="AC7">
        <v>1.6339652584632713</v>
      </c>
      <c r="AE7" s="25">
        <f t="shared" ref="AE7:AE11" si="1">1/(1+EXP(-SUM(Z7:AC7)))</f>
        <v>0.4939248909538354</v>
      </c>
      <c r="AG7" s="25">
        <f t="shared" si="0"/>
        <v>0.4939248909538354</v>
      </c>
      <c r="AI7" s="25">
        <f t="shared" ref="AI7:AI11" si="2">-J5*LN(AE7)-(1-J5)*LN(1-AE7)</f>
        <v>0.68107018386020302</v>
      </c>
      <c r="AM7" s="26">
        <f t="array" ref="AM7:AR12">MMULT(Z15:AC20,TRANSPOSE(M27:P32))</f>
        <v>-9.8450817571017923E-2</v>
      </c>
      <c r="AN7" s="26">
        <v>0.12511730625341255</v>
      </c>
      <c r="AO7" s="26">
        <v>-0.11676168174931179</v>
      </c>
      <c r="AP7" s="26">
        <v>0.1854124317025852</v>
      </c>
      <c r="AQ7" s="26">
        <v>-0.19984116185659984</v>
      </c>
      <c r="AR7" s="26">
        <v>0.26710337457758371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L8" s="18"/>
      <c r="M8" s="21">
        <v>0</v>
      </c>
      <c r="N8" s="21">
        <v>1</v>
      </c>
      <c r="O8" s="21">
        <v>2</v>
      </c>
      <c r="P8" s="21">
        <v>3</v>
      </c>
      <c r="Q8" s="18"/>
      <c r="R8" s="18">
        <v>1.4857235634633779</v>
      </c>
      <c r="S8" s="18">
        <v>-1.9598686969743575</v>
      </c>
      <c r="T8" s="18">
        <v>1.458899297758425</v>
      </c>
      <c r="U8" s="18">
        <v>-1.0202626864485789</v>
      </c>
      <c r="V8" s="18">
        <v>1.3939843543596488</v>
      </c>
      <c r="W8" s="18">
        <v>-2.7323456186318298</v>
      </c>
      <c r="X8" s="18"/>
      <c r="Z8">
        <v>-1.4874644072584438</v>
      </c>
      <c r="AA8">
        <v>-0.84796346581850224</v>
      </c>
      <c r="AB8">
        <v>0.5494576992606155</v>
      </c>
      <c r="AC8">
        <v>1.9735493539197164</v>
      </c>
      <c r="AE8" s="25">
        <f t="shared" si="1"/>
        <v>0.54675777397247349</v>
      </c>
      <c r="AG8" s="25">
        <f t="shared" si="0"/>
        <v>-0.45324222602752651</v>
      </c>
      <c r="AI8" s="25">
        <f t="shared" si="2"/>
        <v>0.60374940101244434</v>
      </c>
      <c r="AM8" s="26">
        <v>0.10839982999838971</v>
      </c>
      <c r="AN8" s="26">
        <v>-0.13776111831618754</v>
      </c>
      <c r="AO8" s="26">
        <v>0.12856111065630615</v>
      </c>
      <c r="AP8" s="26">
        <v>-0.20414940751152227</v>
      </c>
      <c r="AQ8" s="26">
        <v>0.22003624252596565</v>
      </c>
      <c r="AR8" s="26">
        <v>-0.29409568260131713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L9" s="18" t="s">
        <v>69</v>
      </c>
      <c r="M9" s="18">
        <f t="array" ref="M9:P14">MMULT(C4:H9,C13:F18)</f>
        <v>-0.24202834425855613</v>
      </c>
      <c r="N9" s="18">
        <v>-0.3343902521320346</v>
      </c>
      <c r="O9" s="18">
        <v>-0.87876371022324895</v>
      </c>
      <c r="P9" s="18">
        <v>-1.5595323807069639</v>
      </c>
      <c r="Q9" s="18"/>
      <c r="R9" s="18">
        <v>0.58861430830450356</v>
      </c>
      <c r="S9" s="18">
        <v>0.18081905279003002</v>
      </c>
      <c r="T9" s="18">
        <v>0.56014343971185288</v>
      </c>
      <c r="U9" s="18">
        <v>0.22671162909641562</v>
      </c>
      <c r="V9" s="18">
        <v>0.64504379632089692</v>
      </c>
      <c r="W9" s="18">
        <v>-3.7580455072259489E-2</v>
      </c>
      <c r="X9" s="18"/>
      <c r="Z9">
        <v>-1.7439689899585344</v>
      </c>
      <c r="AA9">
        <v>-0.57542171920964014</v>
      </c>
      <c r="AB9">
        <v>0.64959365137973557</v>
      </c>
      <c r="AC9">
        <v>1.6561883379486941</v>
      </c>
      <c r="AE9" s="25">
        <f t="shared" si="1"/>
        <v>0.49659787254529064</v>
      </c>
      <c r="AG9" s="25">
        <f t="shared" si="0"/>
        <v>0.49659787254529064</v>
      </c>
      <c r="AI9" s="25">
        <f t="shared" si="2"/>
        <v>0.68636597011839895</v>
      </c>
      <c r="AM9" s="26">
        <v>-9.9471359207259691E-2</v>
      </c>
      <c r="AN9" s="26">
        <v>0.12641427283628459</v>
      </c>
      <c r="AO9" s="26">
        <v>-0.11797203388942323</v>
      </c>
      <c r="AP9" s="26">
        <v>0.18733441783838189</v>
      </c>
      <c r="AQ9" s="26">
        <v>-0.20191271627677998</v>
      </c>
      <c r="AR9" s="26">
        <v>0.26987216940999303</v>
      </c>
    </row>
    <row r="10" spans="2:46" x14ac:dyDescent="0.3">
      <c r="L10" s="18" t="s">
        <v>33</v>
      </c>
      <c r="M10" s="18">
        <v>-0.52691416753922427</v>
      </c>
      <c r="N10" s="18">
        <v>-0.3162719995446015</v>
      </c>
      <c r="O10" s="18">
        <v>2.1208892576606333</v>
      </c>
      <c r="P10" s="18">
        <v>0.51942009982012627</v>
      </c>
      <c r="Q10" s="18"/>
      <c r="R10" s="18">
        <v>1.1906006383108658</v>
      </c>
      <c r="S10" s="18">
        <v>-2.1180750907787482</v>
      </c>
      <c r="T10" s="18">
        <v>1.1738642878598053</v>
      </c>
      <c r="U10" s="18">
        <v>-1.1502503947973954</v>
      </c>
      <c r="V10" s="18">
        <v>1.1250577366881203</v>
      </c>
      <c r="W10" s="18">
        <v>-2.9627310287674993</v>
      </c>
      <c r="X10" s="18"/>
      <c r="Z10">
        <v>-1.4920725436100923</v>
      </c>
      <c r="AA10">
        <v>-0.83977303491676403</v>
      </c>
      <c r="AB10">
        <v>0.55138274089493022</v>
      </c>
      <c r="AC10">
        <v>1.9624116896790509</v>
      </c>
      <c r="AE10" s="25">
        <f t="shared" si="1"/>
        <v>0.54536213775454712</v>
      </c>
      <c r="AG10" s="25">
        <f t="shared" si="0"/>
        <v>-0.45463786224545288</v>
      </c>
      <c r="AI10" s="25">
        <f t="shared" si="2"/>
        <v>0.60630523203917164</v>
      </c>
      <c r="AM10" s="26">
        <v>0.10898645917098104</v>
      </c>
      <c r="AN10" s="26">
        <v>-0.13850664246372801</v>
      </c>
      <c r="AO10" s="26">
        <v>0.12925684696855755</v>
      </c>
      <c r="AP10" s="26">
        <v>-0.2052542062738017</v>
      </c>
      <c r="AQ10" s="26">
        <v>0.22122701633894182</v>
      </c>
      <c r="AR10" s="26">
        <v>-0.29568724512452127</v>
      </c>
    </row>
    <row r="11" spans="2:46" x14ac:dyDescent="0.3">
      <c r="L11" s="18" t="s">
        <v>70</v>
      </c>
      <c r="M11" s="18">
        <v>-0.2148268184622254</v>
      </c>
      <c r="N11" s="18">
        <v>-0.24924445687963831</v>
      </c>
      <c r="O11" s="18">
        <v>-0.74127883564410257</v>
      </c>
      <c r="P11" s="18">
        <v>-1.4095069140501795</v>
      </c>
      <c r="Q11" s="18"/>
      <c r="R11" s="18">
        <v>1.3216147119224668</v>
      </c>
      <c r="S11" s="18">
        <v>0.68033339471386611</v>
      </c>
      <c r="T11" s="18">
        <v>1.2339825932112913</v>
      </c>
      <c r="U11" s="18">
        <v>0.6881824811656585</v>
      </c>
      <c r="V11" s="18">
        <v>1.4118605030913816</v>
      </c>
      <c r="W11" s="18">
        <v>0.331345349350471</v>
      </c>
      <c r="X11" s="18"/>
      <c r="Z11">
        <v>-1.7114406059349319</v>
      </c>
      <c r="AA11">
        <v>-0.60878586655747269</v>
      </c>
      <c r="AB11">
        <v>0.63763671875263228</v>
      </c>
      <c r="AC11">
        <v>1.6960520412970361</v>
      </c>
      <c r="AE11" s="25">
        <f t="shared" si="1"/>
        <v>0.50336552106079402</v>
      </c>
      <c r="AG11" s="25">
        <f t="shared" si="0"/>
        <v>0.50336552106079402</v>
      </c>
      <c r="AI11" s="25">
        <f t="shared" si="2"/>
        <v>0.69990097831579345</v>
      </c>
      <c r="AM11" s="26">
        <v>-9.9777654215941536E-2</v>
      </c>
      <c r="AN11" s="26">
        <v>0.12680353122286397</v>
      </c>
      <c r="AO11" s="26">
        <v>-0.1183352966962482</v>
      </c>
      <c r="AP11" s="26">
        <v>0.18791126324992025</v>
      </c>
      <c r="AQ11" s="26">
        <v>-0.20253445159514538</v>
      </c>
      <c r="AR11" s="26">
        <v>0.27070316738902089</v>
      </c>
    </row>
    <row r="12" spans="2:46" x14ac:dyDescent="0.3">
      <c r="B12" t="s">
        <v>2</v>
      </c>
      <c r="L12" s="18" t="s">
        <v>43</v>
      </c>
      <c r="M12" s="18">
        <v>-0.40918078452154782</v>
      </c>
      <c r="N12" s="18">
        <v>-0.25146030811691589</v>
      </c>
      <c r="O12" s="18">
        <v>1.2276558702569047</v>
      </c>
      <c r="P12" s="18">
        <v>0.23139031549369365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0.64544537522869705</v>
      </c>
      <c r="AM12" s="26">
        <v>0.11047172942563999</v>
      </c>
      <c r="AN12" s="26">
        <v>-0.14039421453175271</v>
      </c>
      <c r="AO12" s="26">
        <v>0.13101836258686217</v>
      </c>
      <c r="AP12" s="26">
        <v>-0.2080514158495696</v>
      </c>
      <c r="AQ12" s="26">
        <v>0.22424190377903819</v>
      </c>
      <c r="AR12" s="26">
        <v>-0.29971687846802242</v>
      </c>
    </row>
    <row r="13" spans="2:46" x14ac:dyDescent="0.3">
      <c r="C13" s="22">
        <f>'Sixth Iteration'!AK48</f>
        <v>0.24790158632682607</v>
      </c>
      <c r="D13" s="22">
        <f>'Sixth Iteration'!AL48</f>
        <v>-6.6732585108417689E-2</v>
      </c>
      <c r="E13" s="22">
        <f>'Sixth Iteration'!AM48</f>
        <v>0.32340952819193819</v>
      </c>
      <c r="F13" s="22">
        <f>'Sixth Iteration'!AN48</f>
        <v>0.76560460666815278</v>
      </c>
      <c r="L13" s="18" t="s">
        <v>49</v>
      </c>
      <c r="M13" s="18">
        <v>-0.24009118439610411</v>
      </c>
      <c r="N13" s="18">
        <v>-0.14997537731489657</v>
      </c>
      <c r="O13" s="18">
        <v>-0.67224035361149814</v>
      </c>
      <c r="P13" s="18">
        <v>-1.4215140063486429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C14" s="22">
        <f>'Sixth Iteration'!AK49</f>
        <v>-0.1029621954298396</v>
      </c>
      <c r="D14" s="22">
        <f>'Sixth Iteration'!AL49</f>
        <v>-0.16125611412995833</v>
      </c>
      <c r="E14" s="22">
        <f>'Sixth Iteration'!AM49</f>
        <v>0.81050562686181649</v>
      </c>
      <c r="F14" s="22">
        <f>'Sixth Iteration'!AN49</f>
        <v>0.26763036483384633</v>
      </c>
      <c r="L14" s="18" t="s">
        <v>53</v>
      </c>
      <c r="M14" s="18">
        <v>-0.60689222425966638</v>
      </c>
      <c r="N14" s="18">
        <v>-0.66865154854006204</v>
      </c>
      <c r="O14" s="18">
        <v>2.7573835643703068</v>
      </c>
      <c r="P14" s="18">
        <v>0.72599755579939418</v>
      </c>
      <c r="Q14" s="18"/>
      <c r="R14" s="23">
        <f>R6/SQRT(4)</f>
        <v>0.92125680530244658</v>
      </c>
      <c r="S14" s="23">
        <f t="shared" ref="S14:W19" si="3">S6/SQRT(4)</f>
        <v>-1.0301177299274333</v>
      </c>
      <c r="T14" s="23">
        <f t="shared" si="3"/>
        <v>0.90409367521066197</v>
      </c>
      <c r="U14" s="23">
        <f t="shared" si="3"/>
        <v>-0.52103409840884662</v>
      </c>
      <c r="V14" s="23">
        <f t="shared" si="3"/>
        <v>0.86261676124662756</v>
      </c>
      <c r="W14" s="23">
        <f t="shared" si="3"/>
        <v>-1.4323981128612981</v>
      </c>
      <c r="X14" s="18"/>
      <c r="Z14" s="1" t="s">
        <v>83</v>
      </c>
    </row>
    <row r="15" spans="2:46" x14ac:dyDescent="0.3">
      <c r="C15" s="22">
        <f>'Sixth Iteration'!AK50</f>
        <v>-0.23148712154428702</v>
      </c>
      <c r="D15" s="22">
        <f>'Sixth Iteration'!AL50</f>
        <v>0.26358768343973754</v>
      </c>
      <c r="E15" s="22">
        <f>'Sixth Iteration'!AM50</f>
        <v>-0.22618870256923915</v>
      </c>
      <c r="F15" s="22">
        <f>'Sixth Iteration'!AN50</f>
        <v>-0.25902076121494544</v>
      </c>
      <c r="L15" s="18"/>
      <c r="M15" s="18"/>
      <c r="N15" s="18"/>
      <c r="O15" s="18"/>
      <c r="P15" s="18"/>
      <c r="Q15" s="18"/>
      <c r="R15" s="23">
        <f t="shared" ref="R15:V19" si="4">R7/SQRT(4)</f>
        <v>0.2450378953318518</v>
      </c>
      <c r="S15" s="23">
        <f t="shared" si="4"/>
        <v>0.14349970117181932</v>
      </c>
      <c r="T15" s="23">
        <f t="shared" si="4"/>
        <v>0.2231093868057957</v>
      </c>
      <c r="U15" s="23">
        <f t="shared" si="4"/>
        <v>0.15874526719653126</v>
      </c>
      <c r="V15" s="23">
        <f t="shared" si="4"/>
        <v>0.3012351493281718</v>
      </c>
      <c r="W15" s="23">
        <f t="shared" si="3"/>
        <v>-3.3583805909907061E-2</v>
      </c>
      <c r="X15" s="18"/>
      <c r="Z15" s="26">
        <f t="shared" ref="Z15:Z20" si="5">AG6</f>
        <v>-0.44859211803010524</v>
      </c>
      <c r="AA15" s="26">
        <f>Z15</f>
        <v>-0.44859211803010524</v>
      </c>
      <c r="AB15" s="26">
        <f>AA15</f>
        <v>-0.44859211803010524</v>
      </c>
      <c r="AC15" s="26">
        <f>AB15</f>
        <v>-0.44859211803010524</v>
      </c>
      <c r="AF15">
        <f t="shared" ref="AF15:AK20" si="6">R29*AM7</f>
        <v>-2.8960254259812628E-2</v>
      </c>
      <c r="AG15">
        <f t="shared" si="6"/>
        <v>5.2291275604693759E-3</v>
      </c>
      <c r="AH15">
        <f t="shared" si="6"/>
        <v>-3.3762106258353859E-2</v>
      </c>
      <c r="AI15">
        <f t="shared" si="6"/>
        <v>1.2892671359619398E-2</v>
      </c>
      <c r="AJ15">
        <f t="shared" si="6"/>
        <v>-5.543715594807349E-2</v>
      </c>
      <c r="AK15">
        <f t="shared" si="6"/>
        <v>7.4659155839427466E-3</v>
      </c>
      <c r="AM15">
        <f>SUM(AF15:AK15)</f>
        <v>-9.2571801962208461E-2</v>
      </c>
      <c r="AO15">
        <f t="shared" ref="AO15:AT20" si="7">AM7-$AM15</f>
        <v>-5.8790156088094625E-3</v>
      </c>
      <c r="AP15">
        <f t="shared" si="7"/>
        <v>0.21768910821562101</v>
      </c>
      <c r="AQ15">
        <f t="shared" si="7"/>
        <v>-2.4189879787103324E-2</v>
      </c>
      <c r="AR15">
        <f t="shared" si="7"/>
        <v>0.27798423366479363</v>
      </c>
      <c r="AS15">
        <f t="shared" si="7"/>
        <v>-0.10726935989439138</v>
      </c>
      <c r="AT15">
        <f t="shared" si="7"/>
        <v>0.3596751765397922</v>
      </c>
    </row>
    <row r="16" spans="2:46" x14ac:dyDescent="0.3">
      <c r="C16" s="22">
        <f>'Sixth Iteration'!AK51</f>
        <v>0.12147893001326333</v>
      </c>
      <c r="D16" s="22">
        <f>'Sixth Iteration'!AL51</f>
        <v>-0.95738258486655425</v>
      </c>
      <c r="E16" s="22">
        <f>'Sixth Iteration'!AM51</f>
        <v>-0.86150080169239907</v>
      </c>
      <c r="F16" s="22">
        <f>'Sixth Iteration'!AN51</f>
        <v>-0.28501047440348559</v>
      </c>
      <c r="L16" s="19" t="s">
        <v>3</v>
      </c>
      <c r="M16" s="20"/>
      <c r="N16" s="18"/>
      <c r="O16" s="18"/>
      <c r="P16" s="18"/>
      <c r="Q16" s="18"/>
      <c r="R16" s="23">
        <f t="shared" si="4"/>
        <v>0.74286178173168893</v>
      </c>
      <c r="S16" s="23">
        <f t="shared" si="4"/>
        <v>-0.97993434848717875</v>
      </c>
      <c r="T16" s="23">
        <f t="shared" si="4"/>
        <v>0.72944964887921249</v>
      </c>
      <c r="U16" s="23">
        <f t="shared" si="4"/>
        <v>-0.51013134322428944</v>
      </c>
      <c r="V16" s="23">
        <f t="shared" si="4"/>
        <v>0.69699217717982442</v>
      </c>
      <c r="W16" s="23">
        <f t="shared" si="3"/>
        <v>-1.3661728093159149</v>
      </c>
      <c r="X16" s="18"/>
      <c r="Z16" s="26">
        <f t="shared" si="5"/>
        <v>0.4939248909538354</v>
      </c>
      <c r="AA16" s="26">
        <f t="shared" ref="AA16:AC20" si="8">Z16</f>
        <v>0.4939248909538354</v>
      </c>
      <c r="AB16" s="26">
        <f t="shared" si="8"/>
        <v>0.4939248909538354</v>
      </c>
      <c r="AC16" s="26">
        <f t="shared" si="8"/>
        <v>0.4939248909538354</v>
      </c>
      <c r="AF16">
        <f t="shared" si="6"/>
        <v>1.9309820413571228E-2</v>
      </c>
      <c r="AG16">
        <f t="shared" si="6"/>
        <v>-2.2170669903553285E-2</v>
      </c>
      <c r="AH16">
        <f t="shared" si="6"/>
        <v>2.2404529036826916E-2</v>
      </c>
      <c r="AI16">
        <f t="shared" si="6"/>
        <v>-3.3359639227229849E-2</v>
      </c>
      <c r="AJ16">
        <f t="shared" si="6"/>
        <v>4.1461977441363033E-2</v>
      </c>
      <c r="AK16">
        <f t="shared" si="6"/>
        <v>-3.9649198744603494E-2</v>
      </c>
      <c r="AM16">
        <f>SUM(AF16:AK16)</f>
        <v>-1.2003180983625451E-2</v>
      </c>
      <c r="AO16">
        <f t="shared" si="7"/>
        <v>0.12040301098201515</v>
      </c>
      <c r="AP16">
        <f t="shared" si="7"/>
        <v>-0.12575793733256208</v>
      </c>
      <c r="AQ16">
        <f t="shared" si="7"/>
        <v>0.14056429163993162</v>
      </c>
      <c r="AR16">
        <f t="shared" si="7"/>
        <v>-0.19214622652789681</v>
      </c>
      <c r="AS16">
        <f t="shared" si="7"/>
        <v>0.23203942350959111</v>
      </c>
      <c r="AT16">
        <f t="shared" si="7"/>
        <v>-0.28209250161769167</v>
      </c>
    </row>
    <row r="17" spans="2:46" x14ac:dyDescent="0.3">
      <c r="C17" s="22">
        <f>'Sixth Iteration'!AK52</f>
        <v>-0.50693791086914397</v>
      </c>
      <c r="D17" s="22">
        <f>'Sixth Iteration'!AL52</f>
        <v>0.15981866920971191</v>
      </c>
      <c r="E17" s="22">
        <f>'Sixth Iteration'!AM52</f>
        <v>-0.45452665073349036</v>
      </c>
      <c r="F17" s="22">
        <f>'Sixth Iteration'!AN52</f>
        <v>-0.70147396747210267</v>
      </c>
      <c r="L17" s="18"/>
      <c r="M17" s="21">
        <v>0</v>
      </c>
      <c r="N17" s="21">
        <v>1</v>
      </c>
      <c r="O17" s="21">
        <v>2</v>
      </c>
      <c r="P17" s="21">
        <v>3</v>
      </c>
      <c r="Q17" s="18"/>
      <c r="R17" s="23">
        <f t="shared" si="4"/>
        <v>0.29430715415225178</v>
      </c>
      <c r="S17" s="23">
        <f t="shared" si="4"/>
        <v>9.0409526395015011E-2</v>
      </c>
      <c r="T17" s="23">
        <f t="shared" si="4"/>
        <v>0.28007171985592644</v>
      </c>
      <c r="U17" s="23">
        <f t="shared" si="4"/>
        <v>0.11335581454820781</v>
      </c>
      <c r="V17" s="23">
        <f t="shared" si="4"/>
        <v>0.32252189816044846</v>
      </c>
      <c r="W17" s="23">
        <f t="shared" si="3"/>
        <v>-1.8790227536129744E-2</v>
      </c>
      <c r="X17" s="18"/>
      <c r="Z17" s="26">
        <f t="shared" si="5"/>
        <v>-0.45324222602752651</v>
      </c>
      <c r="AA17" s="26">
        <f t="shared" si="8"/>
        <v>-0.45324222602752651</v>
      </c>
      <c r="AB17" s="26">
        <f t="shared" si="8"/>
        <v>-0.45324222602752651</v>
      </c>
      <c r="AC17" s="26">
        <f t="shared" si="8"/>
        <v>-0.45324222602752651</v>
      </c>
      <c r="AF17">
        <f t="shared" si="6"/>
        <v>-2.8199516286829551E-2</v>
      </c>
      <c r="AG17">
        <f t="shared" si="6"/>
        <v>6.3993942177553564E-3</v>
      </c>
      <c r="AH17">
        <f t="shared" si="6"/>
        <v>-3.2998778045914223E-2</v>
      </c>
      <c r="AI17">
        <f t="shared" si="6"/>
        <v>1.5170265497765281E-2</v>
      </c>
      <c r="AJ17">
        <f t="shared" si="6"/>
        <v>-5.4674694069517041E-2</v>
      </c>
      <c r="AK17">
        <f t="shared" si="6"/>
        <v>9.2845235402633387E-3</v>
      </c>
      <c r="AM17">
        <f t="shared" ref="AM17:AM20" si="9">SUM(AF17:AK17)</f>
        <v>-8.5018805146476847E-2</v>
      </c>
      <c r="AO17">
        <f t="shared" si="7"/>
        <v>-1.4452554060782843E-2</v>
      </c>
      <c r="AP17">
        <f t="shared" si="7"/>
        <v>0.21143307798276145</v>
      </c>
      <c r="AQ17">
        <f t="shared" si="7"/>
        <v>-3.2953228742946386E-2</v>
      </c>
      <c r="AR17">
        <f t="shared" si="7"/>
        <v>0.27235322298485876</v>
      </c>
      <c r="AS17">
        <f t="shared" si="7"/>
        <v>-0.11689391113030313</v>
      </c>
      <c r="AT17">
        <f t="shared" si="7"/>
        <v>0.3548909745564699</v>
      </c>
    </row>
    <row r="18" spans="2:46" x14ac:dyDescent="0.3">
      <c r="C18" s="22">
        <f>'Sixth Iteration'!AK53</f>
        <v>0.73230202913085607</v>
      </c>
      <c r="D18" s="22">
        <f>'Sixth Iteration'!AL53</f>
        <v>-0.11019315079028809</v>
      </c>
      <c r="E18" s="22">
        <f>'Sixth Iteration'!AM53</f>
        <v>3.3249489266509703E-2</v>
      </c>
      <c r="F18" s="22">
        <f>'Sixth Iteration'!AN53</f>
        <v>-0.7076962074721026</v>
      </c>
      <c r="L18" s="18" t="s">
        <v>69</v>
      </c>
      <c r="M18" s="18">
        <f t="array" ref="M18:P23">MMULT(C4:H9,C20:F25)</f>
        <v>-0.84804671556060618</v>
      </c>
      <c r="N18" s="18">
        <v>-2.956770088044296</v>
      </c>
      <c r="O18" s="18">
        <v>-0.36971173909063193</v>
      </c>
      <c r="P18" s="18">
        <v>-0.20753523132566776</v>
      </c>
      <c r="Q18" s="18"/>
      <c r="R18" s="23">
        <f t="shared" si="4"/>
        <v>0.59530031915543291</v>
      </c>
      <c r="S18" s="23">
        <f t="shared" si="4"/>
        <v>-1.0590375453893741</v>
      </c>
      <c r="T18" s="23">
        <f t="shared" si="4"/>
        <v>0.58693214392990267</v>
      </c>
      <c r="U18" s="23">
        <f t="shared" si="4"/>
        <v>-0.57512519739869772</v>
      </c>
      <c r="V18" s="23">
        <f t="shared" si="4"/>
        <v>0.56252886834406013</v>
      </c>
      <c r="W18" s="23">
        <f t="shared" si="3"/>
        <v>-1.4813655143837496</v>
      </c>
      <c r="X18" s="18"/>
      <c r="Z18" s="26">
        <f t="shared" si="5"/>
        <v>0.49659787254529064</v>
      </c>
      <c r="AA18" s="26">
        <f t="shared" si="8"/>
        <v>0.49659787254529064</v>
      </c>
      <c r="AB18" s="26">
        <f t="shared" si="8"/>
        <v>0.49659787254529064</v>
      </c>
      <c r="AC18" s="26">
        <f t="shared" si="8"/>
        <v>0.49659787254529064</v>
      </c>
      <c r="AF18">
        <f t="shared" si="6"/>
        <v>2.0198827387780949E-2</v>
      </c>
      <c r="AG18">
        <f t="shared" si="6"/>
        <v>-2.0934982480870497E-2</v>
      </c>
      <c r="AH18">
        <f t="shared" si="6"/>
        <v>2.3617003932113249E-2</v>
      </c>
      <c r="AI18">
        <f t="shared" si="6"/>
        <v>-3.1743843715851865E-2</v>
      </c>
      <c r="AJ18">
        <f t="shared" si="6"/>
        <v>4.2174047657226446E-2</v>
      </c>
      <c r="AK18">
        <f t="shared" si="6"/>
        <v>-4.0069114100880709E-2</v>
      </c>
      <c r="AM18">
        <f t="shared" si="9"/>
        <v>-6.758061320482428E-3</v>
      </c>
      <c r="AO18">
        <f t="shared" si="7"/>
        <v>0.11574452049146347</v>
      </c>
      <c r="AP18">
        <f t="shared" si="7"/>
        <v>-0.13174858114324559</v>
      </c>
      <c r="AQ18">
        <f t="shared" si="7"/>
        <v>0.13601490828903998</v>
      </c>
      <c r="AR18">
        <f t="shared" si="7"/>
        <v>-0.19849614495331927</v>
      </c>
      <c r="AS18">
        <f t="shared" si="7"/>
        <v>0.22798507765942425</v>
      </c>
      <c r="AT18">
        <f t="shared" si="7"/>
        <v>-0.28892918380403887</v>
      </c>
    </row>
    <row r="19" spans="2:46" x14ac:dyDescent="0.3">
      <c r="B19" t="s">
        <v>8</v>
      </c>
      <c r="C19" t="s">
        <v>9</v>
      </c>
      <c r="L19" s="18" t="s">
        <v>33</v>
      </c>
      <c r="M19" s="18">
        <v>-0.85230889396692344</v>
      </c>
      <c r="N19" s="18">
        <v>-1.0392410671875585</v>
      </c>
      <c r="O19" s="18">
        <v>-0.74466942822826276</v>
      </c>
      <c r="P19" s="18">
        <v>2.0957685539683348</v>
      </c>
      <c r="Q19" s="18"/>
      <c r="R19" s="23">
        <f t="shared" si="4"/>
        <v>0.66080735596123341</v>
      </c>
      <c r="S19" s="23">
        <f t="shared" si="4"/>
        <v>0.34016669735693306</v>
      </c>
      <c r="T19" s="23">
        <f t="shared" si="4"/>
        <v>0.61699129660564567</v>
      </c>
      <c r="U19" s="23">
        <f t="shared" si="4"/>
        <v>0.34409124058282925</v>
      </c>
      <c r="V19" s="23">
        <f t="shared" si="4"/>
        <v>0.70593025154569078</v>
      </c>
      <c r="W19" s="23">
        <f t="shared" si="3"/>
        <v>0.1656726746752355</v>
      </c>
      <c r="X19" s="18"/>
      <c r="Z19" s="26">
        <f t="shared" si="5"/>
        <v>-0.45463786224545288</v>
      </c>
      <c r="AA19" s="26">
        <f t="shared" si="8"/>
        <v>-0.45463786224545288</v>
      </c>
      <c r="AB19" s="26">
        <f t="shared" si="8"/>
        <v>-0.45463786224545288</v>
      </c>
      <c r="AC19" s="26">
        <f t="shared" si="8"/>
        <v>-0.45463786224545288</v>
      </c>
      <c r="AF19">
        <f t="shared" si="6"/>
        <v>-2.7822455811581298E-2</v>
      </c>
      <c r="AG19">
        <f t="shared" si="6"/>
        <v>6.7611989302474541E-3</v>
      </c>
      <c r="AH19">
        <f t="shared" si="6"/>
        <v>-3.2722179569855188E-2</v>
      </c>
      <c r="AI19">
        <f t="shared" si="6"/>
        <v>1.6255698689773543E-2</v>
      </c>
      <c r="AJ19">
        <f t="shared" si="6"/>
        <v>-5.465483909023356E-2</v>
      </c>
      <c r="AK19">
        <f t="shared" si="6"/>
        <v>9.4617397189298777E-3</v>
      </c>
      <c r="AM19">
        <f t="shared" si="9"/>
        <v>-8.2720837132719161E-2</v>
      </c>
      <c r="AO19">
        <f t="shared" si="7"/>
        <v>-1.7056817083222375E-2</v>
      </c>
      <c r="AP19">
        <f t="shared" si="7"/>
        <v>0.20952436835558313</v>
      </c>
      <c r="AQ19">
        <f t="shared" si="7"/>
        <v>-3.5614459563529044E-2</v>
      </c>
      <c r="AR19">
        <f t="shared" si="7"/>
        <v>0.27063210038263941</v>
      </c>
      <c r="AS19">
        <f t="shared" si="7"/>
        <v>-0.11981361446242622</v>
      </c>
      <c r="AT19">
        <f t="shared" si="7"/>
        <v>0.35342400452174005</v>
      </c>
    </row>
    <row r="20" spans="2:46" x14ac:dyDescent="0.3">
      <c r="C20" s="22">
        <f>'Sixth Iteration'!AK56</f>
        <v>-0.27731911569192552</v>
      </c>
      <c r="D20" s="22">
        <f>'Sixth Iteration'!AL56</f>
        <v>5.2785658062253292E-2</v>
      </c>
      <c r="E20" s="22">
        <f>'Sixth Iteration'!AM56</f>
        <v>-0.55512995205398774</v>
      </c>
      <c r="F20" s="22">
        <f>'Sixth Iteration'!AN56</f>
        <v>0.19719413951452025</v>
      </c>
      <c r="L20" s="18" t="s">
        <v>70</v>
      </c>
      <c r="M20" s="18">
        <v>-0.9021382982015258</v>
      </c>
      <c r="N20" s="18">
        <v>-2.8502138152646541</v>
      </c>
      <c r="O20" s="18">
        <v>-0.39300424832067338</v>
      </c>
      <c r="P20" s="18">
        <v>-0.1868526282083024</v>
      </c>
      <c r="Q20" s="18"/>
      <c r="R20" s="18"/>
      <c r="S20" s="18"/>
      <c r="T20" s="18"/>
      <c r="U20" s="18"/>
      <c r="V20" s="18"/>
      <c r="W20" s="18"/>
      <c r="X20" s="18"/>
      <c r="Z20" s="26">
        <f t="shared" si="5"/>
        <v>0.50336552106079402</v>
      </c>
      <c r="AA20" s="26">
        <f t="shared" si="8"/>
        <v>0.50336552106079402</v>
      </c>
      <c r="AB20" s="26">
        <f t="shared" si="8"/>
        <v>0.50336552106079402</v>
      </c>
      <c r="AC20" s="26">
        <f t="shared" si="8"/>
        <v>0.50336552106079402</v>
      </c>
      <c r="AF20">
        <f t="shared" si="6"/>
        <v>2.1802210435648891E-2</v>
      </c>
      <c r="AG20">
        <f t="shared" si="6"/>
        <v>-2.0106946250418919E-2</v>
      </c>
      <c r="AH20">
        <f t="shared" si="6"/>
        <v>2.4748704428068809E-2</v>
      </c>
      <c r="AI20">
        <f t="shared" si="6"/>
        <v>-2.9913827755272477E-2</v>
      </c>
      <c r="AJ20">
        <f t="shared" si="6"/>
        <v>4.6298057574842635E-2</v>
      </c>
      <c r="AK20">
        <f t="shared" si="6"/>
        <v>-3.6051747041936463E-2</v>
      </c>
      <c r="AM20">
        <f t="shared" si="9"/>
        <v>6.7764513909324767E-3</v>
      </c>
      <c r="AO20">
        <f t="shared" si="7"/>
        <v>0.10369527803470752</v>
      </c>
      <c r="AP20">
        <f t="shared" si="7"/>
        <v>-0.14717066592268518</v>
      </c>
      <c r="AQ20">
        <f t="shared" si="7"/>
        <v>0.1242419111959297</v>
      </c>
      <c r="AR20">
        <f t="shared" si="7"/>
        <v>-0.21482786724050207</v>
      </c>
      <c r="AS20">
        <f t="shared" si="7"/>
        <v>0.21746545238810572</v>
      </c>
      <c r="AT20">
        <f t="shared" si="7"/>
        <v>-0.30649332985895489</v>
      </c>
    </row>
    <row r="21" spans="2:46" x14ac:dyDescent="0.3">
      <c r="C21" s="22">
        <f>'Sixth Iteration'!AK57</f>
        <v>-0.28104206495980799</v>
      </c>
      <c r="D21" s="22">
        <f>'Sixth Iteration'!AL57</f>
        <v>-0.13557749795160548</v>
      </c>
      <c r="E21" s="22">
        <f>'Sixth Iteration'!AM57</f>
        <v>-0.37750790696713954</v>
      </c>
      <c r="F21" s="22">
        <f>'Sixth Iteration'!AN57</f>
        <v>0.89131534182421368</v>
      </c>
      <c r="L21" s="18" t="s">
        <v>43</v>
      </c>
      <c r="M21" s="18">
        <v>-0.56412870048222696</v>
      </c>
      <c r="N21" s="18">
        <v>-1.0012825966777592</v>
      </c>
      <c r="O21" s="18">
        <v>-0.43785917447324652</v>
      </c>
      <c r="P21" s="18">
        <v>1.2171579431762385</v>
      </c>
      <c r="Q21" s="18"/>
      <c r="R21" s="23">
        <f>EXP(R14)</f>
        <v>2.5124460620210711</v>
      </c>
      <c r="S21" s="23">
        <f t="shared" ref="S21:W21" si="10">EXP(S14)</f>
        <v>0.35696493263960744</v>
      </c>
      <c r="T21" s="23">
        <f t="shared" si="10"/>
        <v>2.4696925648242769</v>
      </c>
      <c r="U21" s="23">
        <f t="shared" si="10"/>
        <v>0.59390607298607134</v>
      </c>
      <c r="V21" s="23">
        <f t="shared" si="10"/>
        <v>2.3693526188903347</v>
      </c>
      <c r="W21" s="23">
        <f t="shared" si="10"/>
        <v>0.23873572001602014</v>
      </c>
      <c r="X21" s="18"/>
      <c r="Z21" s="1" t="s">
        <v>81</v>
      </c>
    </row>
    <row r="22" spans="2:46" x14ac:dyDescent="0.3">
      <c r="C22" s="22">
        <f>'Sixth Iteration'!AK58</f>
        <v>-1.7788123053513738E-2</v>
      </c>
      <c r="D22" s="22">
        <f>'Sixth Iteration'!AL58</f>
        <v>-0.53461025697412834</v>
      </c>
      <c r="E22" s="22">
        <f>'Sixth Iteration'!AM58</f>
        <v>0.45561475330896167</v>
      </c>
      <c r="F22" s="22">
        <f>'Sixth Iteration'!AN58</f>
        <v>-0.58983884834425171</v>
      </c>
      <c r="L22" s="18" t="s">
        <v>49</v>
      </c>
      <c r="M22" s="18">
        <v>-0.89753806319740637</v>
      </c>
      <c r="N22" s="18">
        <v>-2.7548290991573072</v>
      </c>
      <c r="O22" s="18">
        <v>-0.29880905449800887</v>
      </c>
      <c r="P22" s="18">
        <v>-0.20790419277779015</v>
      </c>
      <c r="Q22" s="18"/>
      <c r="R22" s="23">
        <f t="shared" ref="R22:W26" si="11">EXP(R15)</f>
        <v>1.277669730005911</v>
      </c>
      <c r="S22" s="23">
        <f t="shared" si="11"/>
        <v>1.1543064658677549</v>
      </c>
      <c r="T22" s="23">
        <f t="shared" si="11"/>
        <v>1.2499572950939826</v>
      </c>
      <c r="U22" s="23">
        <f t="shared" si="11"/>
        <v>1.1720393517815193</v>
      </c>
      <c r="V22" s="23">
        <f t="shared" si="11"/>
        <v>1.3515271148675259</v>
      </c>
      <c r="W22" s="23">
        <f t="shared" si="11"/>
        <v>0.96697386971056365</v>
      </c>
      <c r="X22" s="18"/>
      <c r="Z22" s="26">
        <f t="shared" ref="Z22:AE27" si="12">R29*AO15/SQRT(4)</f>
        <v>-8.6468447408124865E-4</v>
      </c>
      <c r="AA22" s="26">
        <f t="shared" si="12"/>
        <v>4.5490274266245107E-3</v>
      </c>
      <c r="AB22" s="26">
        <f t="shared" si="12"/>
        <v>-3.4973001395374407E-3</v>
      </c>
      <c r="AC22" s="26">
        <f t="shared" si="12"/>
        <v>9.6648302783298758E-3</v>
      </c>
      <c r="AD22" s="26">
        <f t="shared" si="12"/>
        <v>-1.4878587017980257E-2</v>
      </c>
      <c r="AE22" s="26">
        <f t="shared" si="12"/>
        <v>5.0267139266445523E-3</v>
      </c>
    </row>
    <row r="23" spans="2:46" x14ac:dyDescent="0.3">
      <c r="C23" s="22">
        <f>'Sixth Iteration'!AK59</f>
        <v>0.10072719407140308</v>
      </c>
      <c r="D23" s="22">
        <f>'Sixth Iteration'!AL59</f>
        <v>-0.98177605275420987</v>
      </c>
      <c r="E23" s="22">
        <f>'Sixth Iteration'!AM59</f>
        <v>-0.64823268059488093</v>
      </c>
      <c r="F23" s="22">
        <f>'Sixth Iteration'!AN59</f>
        <v>0.10618022647774496</v>
      </c>
      <c r="L23" s="18" t="s">
        <v>53</v>
      </c>
      <c r="M23" s="18">
        <v>-1.1117382246713248</v>
      </c>
      <c r="N23" s="18">
        <v>-1.3714530646068133</v>
      </c>
      <c r="O23" s="18">
        <v>-1.2488866787380608</v>
      </c>
      <c r="P23" s="18">
        <v>3.0072765868959266</v>
      </c>
      <c r="Q23" s="18"/>
      <c r="R23" s="23">
        <f t="shared" si="11"/>
        <v>2.1019422152943812</v>
      </c>
      <c r="S23" s="23">
        <f t="shared" si="11"/>
        <v>0.3753357394016536</v>
      </c>
      <c r="T23" s="23">
        <f t="shared" si="11"/>
        <v>2.0739388989351242</v>
      </c>
      <c r="U23" s="23">
        <f t="shared" si="11"/>
        <v>0.60041671296613386</v>
      </c>
      <c r="V23" s="23">
        <f t="shared" si="11"/>
        <v>2.0077047962051351</v>
      </c>
      <c r="W23" s="23">
        <f t="shared" si="11"/>
        <v>0.25508133871925404</v>
      </c>
      <c r="X23" s="18"/>
      <c r="Z23" s="26">
        <f t="shared" si="12"/>
        <v>1.0724004453468675E-2</v>
      </c>
      <c r="AA23" s="26">
        <f t="shared" si="12"/>
        <v>-1.0119465312239541E-2</v>
      </c>
      <c r="AB23" s="26">
        <f t="shared" si="12"/>
        <v>1.2248170296253493E-2</v>
      </c>
      <c r="AC23" s="26">
        <f t="shared" si="12"/>
        <v>-1.5699111924883838E-2</v>
      </c>
      <c r="AD23" s="26">
        <f t="shared" si="12"/>
        <v>2.1861883371159262E-2</v>
      </c>
      <c r="AE23" s="26">
        <f t="shared" si="12"/>
        <v>-1.9015480883758047E-2</v>
      </c>
    </row>
    <row r="24" spans="2:46" x14ac:dyDescent="0.3">
      <c r="C24" s="22">
        <f>'Sixth Iteration'!AK60</f>
        <v>0.36371353347324314</v>
      </c>
      <c r="D24" s="22">
        <f>'Sixth Iteration'!AL60</f>
        <v>8.2806741512935905E-2</v>
      </c>
      <c r="E24" s="22">
        <f>'Sixth Iteration'!AM60</f>
        <v>-3.5652993345519191E-2</v>
      </c>
      <c r="F24" s="22">
        <f>'Sixth Iteration'!AN60</f>
        <v>-0.14026036417212587</v>
      </c>
      <c r="L24" s="18"/>
      <c r="M24" s="18"/>
      <c r="N24" s="18"/>
      <c r="O24" s="18"/>
      <c r="P24" s="18"/>
      <c r="Q24" s="18"/>
      <c r="R24" s="23">
        <f t="shared" si="11"/>
        <v>1.3421961014652992</v>
      </c>
      <c r="S24" s="23">
        <f t="shared" si="11"/>
        <v>1.0946224687206674</v>
      </c>
      <c r="T24" s="23">
        <f t="shared" si="11"/>
        <v>1.3232247104199475</v>
      </c>
      <c r="U24" s="23">
        <f t="shared" si="11"/>
        <v>1.1200303851623106</v>
      </c>
      <c r="V24" s="23">
        <f t="shared" si="11"/>
        <v>1.3806051232410601</v>
      </c>
      <c r="W24" s="23">
        <f t="shared" si="11"/>
        <v>0.98138520824477904</v>
      </c>
      <c r="X24" s="18"/>
      <c r="Z24" s="26">
        <f t="shared" si="12"/>
        <v>-2.0486049294558442E-3</v>
      </c>
      <c r="AA24" s="26">
        <f t="shared" si="12"/>
        <v>5.3516252015205117E-3</v>
      </c>
      <c r="AB24" s="26">
        <f t="shared" si="12"/>
        <v>-4.6087883938831587E-3</v>
      </c>
      <c r="AC24" s="26">
        <f t="shared" si="12"/>
        <v>1.1027527000983004E-2</v>
      </c>
      <c r="AD24" s="26">
        <f t="shared" si="12"/>
        <v>-1.5826489157022002E-2</v>
      </c>
      <c r="AE24" s="26">
        <f t="shared" si="12"/>
        <v>6.1047302778574931E-3</v>
      </c>
    </row>
    <row r="25" spans="2:46" x14ac:dyDescent="0.3">
      <c r="C25" s="22">
        <f>'Sixth Iteration'!AK61</f>
        <v>-0.74478075652675702</v>
      </c>
      <c r="D25" s="22">
        <f>'Sixth Iteration'!AL61</f>
        <v>-0.36279949848706416</v>
      </c>
      <c r="E25" s="22">
        <f>'Sixth Iteration'!AM61</f>
        <v>-0.20814824334551921</v>
      </c>
      <c r="F25" s="22">
        <f>'Sixth Iteration'!AN61</f>
        <v>0.53885259582787426</v>
      </c>
      <c r="L25" s="19" t="s">
        <v>4</v>
      </c>
      <c r="M25" s="20"/>
      <c r="N25" s="18"/>
      <c r="O25" s="18"/>
      <c r="P25" s="18"/>
      <c r="Q25" s="18"/>
      <c r="R25" s="23">
        <f t="shared" si="11"/>
        <v>1.8135755146505825</v>
      </c>
      <c r="S25" s="23">
        <f t="shared" si="11"/>
        <v>0.34678941883785863</v>
      </c>
      <c r="T25" s="23">
        <f t="shared" si="11"/>
        <v>1.7984625192483403</v>
      </c>
      <c r="U25" s="23">
        <f t="shared" si="11"/>
        <v>0.56263442403098984</v>
      </c>
      <c r="V25" s="23">
        <f t="shared" si="11"/>
        <v>1.7551053232133018</v>
      </c>
      <c r="W25" s="23">
        <f t="shared" si="11"/>
        <v>0.22732705797945127</v>
      </c>
      <c r="X25" s="18"/>
      <c r="Z25" s="26">
        <f t="shared" si="12"/>
        <v>1.0725660821867678E-2</v>
      </c>
      <c r="AA25" s="26">
        <f t="shared" si="12"/>
        <v>-9.9567579902736219E-3</v>
      </c>
      <c r="AB25" s="26">
        <f t="shared" si="12"/>
        <v>1.2425897347897097E-2</v>
      </c>
      <c r="AC25" s="26">
        <f t="shared" si="12"/>
        <v>-1.534933368233121E-2</v>
      </c>
      <c r="AD25" s="26">
        <f t="shared" si="12"/>
        <v>2.1731191988807127E-2</v>
      </c>
      <c r="AE25" s="26">
        <f t="shared" si="12"/>
        <v>-1.9576658485967069E-2</v>
      </c>
    </row>
    <row r="26" spans="2:46" x14ac:dyDescent="0.3">
      <c r="B26" t="s">
        <v>10</v>
      </c>
      <c r="C26" t="s">
        <v>9</v>
      </c>
      <c r="L26" s="18"/>
      <c r="M26" s="21">
        <v>0</v>
      </c>
      <c r="N26" s="21">
        <v>1</v>
      </c>
      <c r="O26" s="21">
        <v>2</v>
      </c>
      <c r="P26" s="21">
        <v>3</v>
      </c>
      <c r="Q26" s="18"/>
      <c r="R26" s="23">
        <f t="shared" si="11"/>
        <v>1.9363550312683915</v>
      </c>
      <c r="S26" s="23">
        <f t="shared" si="11"/>
        <v>1.405181811135003</v>
      </c>
      <c r="T26" s="23">
        <f t="shared" si="11"/>
        <v>1.8533434840886744</v>
      </c>
      <c r="U26" s="23">
        <f t="shared" si="11"/>
        <v>1.4107073433961108</v>
      </c>
      <c r="V26" s="23">
        <f t="shared" si="11"/>
        <v>2.0257302473868535</v>
      </c>
      <c r="W26" s="23">
        <f t="shared" si="11"/>
        <v>1.1801867334868501</v>
      </c>
      <c r="X26" s="18"/>
      <c r="Z26" s="26">
        <f t="shared" si="12"/>
        <v>-2.3781003036868267E-3</v>
      </c>
      <c r="AA26" s="26">
        <f t="shared" si="12"/>
        <v>5.5859482836354496E-3</v>
      </c>
      <c r="AB26" s="26">
        <f t="shared" si="12"/>
        <v>-4.9240707280792748E-3</v>
      </c>
      <c r="AC26" s="26">
        <f t="shared" si="12"/>
        <v>1.1705828068830783E-2</v>
      </c>
      <c r="AD26" s="26">
        <f t="shared" si="12"/>
        <v>-1.6166123263693048E-2</v>
      </c>
      <c r="AE26" s="26">
        <f t="shared" si="12"/>
        <v>6.176517942992908E-3</v>
      </c>
    </row>
    <row r="27" spans="2:46" x14ac:dyDescent="0.3">
      <c r="C27" s="22">
        <f>'Sixth Iteration'!AK38</f>
        <v>0.18631028658948051</v>
      </c>
      <c r="D27" s="22">
        <f>'Sixth Iteration'!AL38</f>
        <v>-0.8670189334105195</v>
      </c>
      <c r="E27" s="22">
        <f>'Sixth Iteration'!AM38</f>
        <v>0.17654312658948051</v>
      </c>
      <c r="F27" s="22">
        <f>'Sixth Iteration'!AN38</f>
        <v>-0.17803999341051949</v>
      </c>
      <c r="L27" s="18" t="s">
        <v>69</v>
      </c>
      <c r="M27" s="18">
        <f t="array" ref="M27:P32">MMULT(C4:H9,C27:F32)</f>
        <v>-1.4098389264695472</v>
      </c>
      <c r="N27" s="18">
        <v>-0.94142950937894709</v>
      </c>
      <c r="O27" s="18">
        <v>0.43565790483725314</v>
      </c>
      <c r="P27" s="18">
        <v>2.1350767534748529</v>
      </c>
      <c r="Q27" s="18"/>
      <c r="R27" s="18"/>
      <c r="S27" s="18"/>
      <c r="T27" s="18"/>
      <c r="U27" s="18"/>
      <c r="V27" s="18"/>
      <c r="W27" s="18"/>
      <c r="X27" s="18"/>
      <c r="Z27" s="26">
        <f t="shared" si="12"/>
        <v>1.0232420025693448E-2</v>
      </c>
      <c r="AA27" s="26">
        <f t="shared" si="12"/>
        <v>-1.0538727251743424E-2</v>
      </c>
      <c r="AB27" s="26">
        <f t="shared" si="12"/>
        <v>1.173433355850367E-2</v>
      </c>
      <c r="AC27" s="26">
        <f t="shared" si="12"/>
        <v>-1.544407614681036E-2</v>
      </c>
      <c r="AD27" s="26">
        <f t="shared" si="12"/>
        <v>2.2449479480705518E-2</v>
      </c>
      <c r="AE27" s="26">
        <f t="shared" si="12"/>
        <v>-1.8433429666348849E-2</v>
      </c>
    </row>
    <row r="28" spans="2:46" x14ac:dyDescent="0.3">
      <c r="C28" s="22">
        <f>'Sixth Iteration'!AK39</f>
        <v>-0.58106884243035806</v>
      </c>
      <c r="D28" s="22">
        <f>'Sixth Iteration'!AL39</f>
        <v>6.3230297569641991E-2</v>
      </c>
      <c r="E28" s="22">
        <f>'Sixth Iteration'!AM39</f>
        <v>0.27289191756964198</v>
      </c>
      <c r="F28" s="22">
        <f>'Sixth Iteration'!AN39</f>
        <v>0.22303221756964201</v>
      </c>
      <c r="L28" s="18" t="s">
        <v>33</v>
      </c>
      <c r="M28" s="18">
        <v>-2.2208829509114509</v>
      </c>
      <c r="N28" s="18">
        <v>-1.3880362814471007E-2</v>
      </c>
      <c r="O28" s="18">
        <v>0.89483009404498892</v>
      </c>
      <c r="P28" s="18">
        <v>1.0610221527570691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C29" s="22">
        <f>'Sixth Iteration'!AK40</f>
        <v>-0.45451941550725911</v>
      </c>
      <c r="D29" s="22">
        <f>'Sixth Iteration'!AL40</f>
        <v>-0.18951684550725911</v>
      </c>
      <c r="E29" s="22">
        <f>'Sixth Iteration'!AM40</f>
        <v>0.13072106449274093</v>
      </c>
      <c r="F29" s="22">
        <f>'Sixth Iteration'!AN40</f>
        <v>0.45286190449274094</v>
      </c>
      <c r="L29" s="18" t="s">
        <v>70</v>
      </c>
      <c r="M29" s="18">
        <v>-1.356123118839736</v>
      </c>
      <c r="N29" s="18">
        <v>-1.0695844118397362</v>
      </c>
      <c r="O29" s="18">
        <v>0.51918140816026415</v>
      </c>
      <c r="P29" s="18">
        <v>2.1668108601602643</v>
      </c>
      <c r="Q29" s="18"/>
      <c r="R29" s="24">
        <f t="shared" ref="R29:W34" si="13">R21/SUM($R21:$W21)</f>
        <v>0.29415961161441878</v>
      </c>
      <c r="S29" s="24">
        <f t="shared" si="13"/>
        <v>4.1793799091856265E-2</v>
      </c>
      <c r="T29" s="24">
        <f t="shared" si="13"/>
        <v>0.28915399086869403</v>
      </c>
      <c r="U29" s="24">
        <f t="shared" si="13"/>
        <v>6.9535096655763434E-2</v>
      </c>
      <c r="V29" s="24">
        <f t="shared" si="13"/>
        <v>0.2774060930843345</v>
      </c>
      <c r="W29" s="24">
        <f t="shared" si="13"/>
        <v>2.7951408684932854E-2</v>
      </c>
      <c r="X29" s="18"/>
      <c r="Z29" s="1" t="s">
        <v>14</v>
      </c>
      <c r="AG29" s="1" t="s">
        <v>12</v>
      </c>
    </row>
    <row r="30" spans="2:46" x14ac:dyDescent="0.3">
      <c r="C30" s="22">
        <f>'Sixth Iteration'!AK41</f>
        <v>-0.24142775839462804</v>
      </c>
      <c r="D30" s="22">
        <f>'Sixth Iteration'!AL41</f>
        <v>-9.46701283946281E-2</v>
      </c>
      <c r="E30" s="22">
        <f>'Sixth Iteration'!AM41</f>
        <v>-0.55500812839462799</v>
      </c>
      <c r="F30" s="22">
        <f>'Sixth Iteration'!AN41</f>
        <v>-0.59994394839462806</v>
      </c>
      <c r="L30" s="18" t="s">
        <v>43</v>
      </c>
      <c r="M30" s="18">
        <v>-1.661985348867866</v>
      </c>
      <c r="N30" s="18">
        <v>-9.5752467576925931E-2</v>
      </c>
      <c r="O30" s="18">
        <v>0.56830554300145408</v>
      </c>
      <c r="P30" s="18">
        <v>0.7761115211376941</v>
      </c>
      <c r="Q30" s="18"/>
      <c r="R30" s="24">
        <f t="shared" si="13"/>
        <v>0.17813515402983637</v>
      </c>
      <c r="S30" s="24">
        <f t="shared" si="13"/>
        <v>0.16093561212727273</v>
      </c>
      <c r="T30" s="24">
        <f t="shared" si="13"/>
        <v>0.1742714334253298</v>
      </c>
      <c r="U30" s="24">
        <f t="shared" si="13"/>
        <v>0.16340796495011634</v>
      </c>
      <c r="V30" s="24">
        <f t="shared" si="13"/>
        <v>0.18843249169040988</v>
      </c>
      <c r="W30" s="24">
        <f t="shared" si="13"/>
        <v>0.13481734377703483</v>
      </c>
      <c r="X30" s="18"/>
      <c r="Z30" s="28">
        <f t="array" ref="Z30:AC35">MMULT(TRANSPOSE(Z22:AE27),M9:P14)</f>
        <v>-1.5029005988468576E-2</v>
      </c>
      <c r="AA30" s="28">
        <v>-1.1774301829496436E-2</v>
      </c>
      <c r="AB30" s="28">
        <v>6.8003648919889484E-2</v>
      </c>
      <c r="AC30" s="28">
        <v>2.3097318572551064E-2</v>
      </c>
      <c r="AG30" s="28">
        <f t="array" ref="AG30:AJ35">MMULT(TRANSPOSE(R29:W34),Z15:AC20)</f>
        <v>-0.10785882153299083</v>
      </c>
      <c r="AH30" s="28">
        <v>-0.10785882153299083</v>
      </c>
      <c r="AI30" s="28">
        <v>-0.10785882153299083</v>
      </c>
      <c r="AJ30" s="28">
        <v>-0.10785882153299083</v>
      </c>
    </row>
    <row r="31" spans="2:46" x14ac:dyDescent="0.3">
      <c r="C31" s="22">
        <f>'Sixth Iteration'!AK42</f>
        <v>0.42246178303904203</v>
      </c>
      <c r="D31" s="22">
        <f>'Sixth Iteration'!AL42</f>
        <v>0.69431888303904199</v>
      </c>
      <c r="E31" s="22">
        <f>'Sixth Iteration'!AM42</f>
        <v>-1.9806186960957969E-2</v>
      </c>
      <c r="F31" s="22">
        <f>'Sixth Iteration'!AN42</f>
        <v>0.51796532303904197</v>
      </c>
      <c r="L31" s="18" t="s">
        <v>49</v>
      </c>
      <c r="M31" s="18">
        <v>-1.3418380202637228</v>
      </c>
      <c r="N31" s="18">
        <v>-1.0142434272335228</v>
      </c>
      <c r="O31" s="18">
        <v>0.56534132417187744</v>
      </c>
      <c r="P31" s="18">
        <v>2.2362253510510777</v>
      </c>
      <c r="Q31" s="18"/>
      <c r="R31" s="24">
        <f t="shared" si="13"/>
        <v>0.28349382688209485</v>
      </c>
      <c r="S31" s="24">
        <f t="shared" si="13"/>
        <v>5.0622402630461069E-2</v>
      </c>
      <c r="T31" s="24">
        <f t="shared" si="13"/>
        <v>0.27971695458641005</v>
      </c>
      <c r="U31" s="24">
        <f t="shared" si="13"/>
        <v>8.0979596129810219E-2</v>
      </c>
      <c r="V31" s="24">
        <f t="shared" si="13"/>
        <v>0.27078380736837548</v>
      </c>
      <c r="W31" s="24">
        <f t="shared" si="13"/>
        <v>3.4403412402848325E-2</v>
      </c>
      <c r="X31" s="18"/>
      <c r="Z31" s="28">
        <v>1.2210272178277604E-2</v>
      </c>
      <c r="AA31" s="28">
        <v>9.058201210802995E-3</v>
      </c>
      <c r="AB31" s="28">
        <v>-7.4464717549785051E-2</v>
      </c>
      <c r="AC31" s="28">
        <v>-3.7789253300696025E-2</v>
      </c>
      <c r="AG31" s="28">
        <v>0.16070670275197818</v>
      </c>
      <c r="AH31" s="28">
        <v>0.16070670275197818</v>
      </c>
      <c r="AI31" s="28">
        <v>0.16070670275197818</v>
      </c>
      <c r="AJ31" s="28">
        <v>0.16070670275197818</v>
      </c>
    </row>
    <row r="32" spans="2:46" x14ac:dyDescent="0.3">
      <c r="C32" s="22">
        <f>'Sixth Iteration'!AK43</f>
        <v>0.19701688303904202</v>
      </c>
      <c r="D32" s="22">
        <f>'Sixth Iteration'!AL43</f>
        <v>-0.30636100696095797</v>
      </c>
      <c r="E32" s="22">
        <f>'Sixth Iteration'!AM43</f>
        <v>0.19689667303904201</v>
      </c>
      <c r="F32" s="22">
        <f>'Sixth Iteration'!AN43</f>
        <v>0.78521715303904205</v>
      </c>
      <c r="L32" s="18" t="s">
        <v>53</v>
      </c>
      <c r="M32" s="18">
        <v>-2.8512231127470797</v>
      </c>
      <c r="N32" s="18">
        <v>3.5003306252920419E-2</v>
      </c>
      <c r="O32" s="18">
        <v>1.0557862962529205</v>
      </c>
      <c r="P32" s="18">
        <v>1.1650075902529207</v>
      </c>
      <c r="Q32" s="18"/>
      <c r="R32" s="24">
        <f t="shared" si="13"/>
        <v>0.18533336656155106</v>
      </c>
      <c r="S32" s="24">
        <f t="shared" si="13"/>
        <v>0.15114785910973857</v>
      </c>
      <c r="T32" s="24">
        <f t="shared" si="13"/>
        <v>0.1827137554876162</v>
      </c>
      <c r="U32" s="24">
        <f t="shared" si="13"/>
        <v>0.15465623965584765</v>
      </c>
      <c r="V32" s="24">
        <f t="shared" si="13"/>
        <v>0.19063696810253775</v>
      </c>
      <c r="W32" s="24">
        <f t="shared" si="13"/>
        <v>0.13551181108270871</v>
      </c>
      <c r="X32" s="18"/>
      <c r="Z32" s="28">
        <v>-1.5640885591325204E-2</v>
      </c>
      <c r="AA32" s="28">
        <v>-1.1787886190152514E-2</v>
      </c>
      <c r="AB32" s="28">
        <v>8.3387653910918624E-2</v>
      </c>
      <c r="AC32" s="28">
        <v>3.6706183055372731E-2</v>
      </c>
      <c r="AG32" s="28">
        <v>-0.11031313913115563</v>
      </c>
      <c r="AH32" s="28">
        <v>-0.11031313913115563</v>
      </c>
      <c r="AI32" s="28">
        <v>-0.11031313913115563</v>
      </c>
      <c r="AJ32" s="28">
        <v>-0.11031313913115563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3"/>
        <v>0.27884455723289681</v>
      </c>
      <c r="S33" s="24">
        <f t="shared" si="13"/>
        <v>5.3320273221447487E-2</v>
      </c>
      <c r="T33" s="24">
        <f t="shared" si="13"/>
        <v>0.27652087317488122</v>
      </c>
      <c r="U33" s="24">
        <f t="shared" si="13"/>
        <v>8.6507314189855744E-2</v>
      </c>
      <c r="V33" s="24">
        <f t="shared" si="13"/>
        <v>0.26985452924071118</v>
      </c>
      <c r="W33" s="24">
        <f t="shared" si="13"/>
        <v>3.4952452940207539E-2</v>
      </c>
      <c r="X33" s="18"/>
      <c r="Z33" s="28">
        <v>1.6406989077083628E-2</v>
      </c>
      <c r="AA33" s="28">
        <v>1.1415682134965442E-2</v>
      </c>
      <c r="AB33" s="28">
        <v>-0.11926172365973436</v>
      </c>
      <c r="AC33" s="28">
        <v>-7.0174472862252313E-2</v>
      </c>
      <c r="AG33" s="28">
        <v>0.12266181861999802</v>
      </c>
      <c r="AH33" s="28">
        <v>0.12266181861999802</v>
      </c>
      <c r="AI33" s="28">
        <v>0.12266181861999802</v>
      </c>
      <c r="AJ33" s="28">
        <v>0.12266181861999802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3"/>
        <v>0.19735556371754145</v>
      </c>
      <c r="S34" s="24">
        <f t="shared" si="13"/>
        <v>0.14321776946065939</v>
      </c>
      <c r="T34" s="24">
        <f t="shared" si="13"/>
        <v>0.18889492998861884</v>
      </c>
      <c r="U34" s="24">
        <f t="shared" si="13"/>
        <v>0.14378093815473719</v>
      </c>
      <c r="V34" s="24">
        <f t="shared" si="13"/>
        <v>0.20646479000848775</v>
      </c>
      <c r="W34" s="24">
        <f t="shared" si="13"/>
        <v>0.12028600866995523</v>
      </c>
      <c r="X34" s="18"/>
      <c r="Z34" s="28">
        <v>-2.3153399024067552E-2</v>
      </c>
      <c r="AA34" s="28">
        <v>-1.6045273424797037E-2</v>
      </c>
      <c r="AB34" s="28">
        <v>0.1706210089603892</v>
      </c>
      <c r="AC34" s="28">
        <v>0.10117371101857596</v>
      </c>
      <c r="AG34" s="28">
        <v>-7.8190261464379851E-2</v>
      </c>
      <c r="AH34" s="28">
        <v>-7.8190261464379851E-2</v>
      </c>
      <c r="AI34" s="28">
        <v>-7.8190261464379851E-2</v>
      </c>
      <c r="AJ34" s="28">
        <v>-7.8190261464379851E-2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2.5206029348500095E-2</v>
      </c>
      <c r="AA35" s="28">
        <v>1.9133578098677551E-2</v>
      </c>
      <c r="AB35" s="28">
        <v>-0.1282858705816779</v>
      </c>
      <c r="AC35" s="28">
        <v>-5.3013486483551399E-2</v>
      </c>
      <c r="AG35" s="28">
        <v>0.15040977901338551</v>
      </c>
      <c r="AH35" s="28">
        <v>0.15040977901338551</v>
      </c>
      <c r="AI35" s="28">
        <v>0.15040977901338551</v>
      </c>
      <c r="AJ35" s="28">
        <v>0.15040977901338551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2.324664703009704E-3</v>
      </c>
      <c r="AA38" s="28">
        <v>3.2214026139227407E-2</v>
      </c>
      <c r="AB38" s="28">
        <v>-7.7571579884092128E-3</v>
      </c>
      <c r="AC38" s="28">
        <v>4.034030551390571E-2</v>
      </c>
      <c r="AF38">
        <f t="array" ref="AF38:AI43">MMULT(TRANSPOSE(C4:H9),AG30:AJ35)</f>
        <v>-0.2723074344412984</v>
      </c>
      <c r="AG38">
        <v>-0.2723074344412984</v>
      </c>
      <c r="AH38">
        <v>-0.2723074344412984</v>
      </c>
      <c r="AI38">
        <v>-0.2723074344412984</v>
      </c>
      <c r="AK38" s="22">
        <f t="shared" ref="AK38:AN43" si="14">C27-0.02*AF38</f>
        <v>0.19175643527830649</v>
      </c>
      <c r="AL38" s="22">
        <f t="shared" si="14"/>
        <v>-0.86157278472169352</v>
      </c>
      <c r="AM38" s="22">
        <f t="shared" si="14"/>
        <v>0.18198927527830649</v>
      </c>
      <c r="AN38" s="22">
        <f t="shared" si="14"/>
        <v>-0.17259384472169351</v>
      </c>
    </row>
    <row r="39" spans="12:40" x14ac:dyDescent="0.3">
      <c r="Z39" s="28">
        <v>-1.1444058646619265E-3</v>
      </c>
      <c r="AA39" s="28">
        <v>-7.4529421238274635E-2</v>
      </c>
      <c r="AB39" s="28">
        <v>2.2846935404185437E-2</v>
      </c>
      <c r="AC39" s="28">
        <v>-0.10656055518531179</v>
      </c>
      <c r="AF39">
        <v>1.0327206394209463</v>
      </c>
      <c r="AG39">
        <v>1.0327206394209463</v>
      </c>
      <c r="AH39">
        <v>1.0327206394209463</v>
      </c>
      <c r="AI39">
        <v>1.0327206394209463</v>
      </c>
      <c r="AK39" s="22">
        <f t="shared" si="14"/>
        <v>-0.60172325521877701</v>
      </c>
      <c r="AL39" s="22">
        <f t="shared" si="14"/>
        <v>4.2575884781223067E-2</v>
      </c>
      <c r="AM39" s="22">
        <f t="shared" si="14"/>
        <v>0.25223750478122309</v>
      </c>
      <c r="AN39" s="22">
        <f t="shared" si="14"/>
        <v>0.20237780478122308</v>
      </c>
    </row>
    <row r="40" spans="12:40" x14ac:dyDescent="0.3">
      <c r="Z40" s="28">
        <v>2.5309093913100274E-3</v>
      </c>
      <c r="AA40" s="28">
        <v>3.7816908392514094E-2</v>
      </c>
      <c r="AB40" s="28">
        <v>-9.1400468987266285E-3</v>
      </c>
      <c r="AC40" s="28">
        <v>4.7573337701603172E-2</v>
      </c>
      <c r="AF40">
        <v>-0.45530836600021718</v>
      </c>
      <c r="AG40">
        <v>-0.45530836600021718</v>
      </c>
      <c r="AH40">
        <v>-0.45530836600021718</v>
      </c>
      <c r="AI40">
        <v>-0.45530836600021718</v>
      </c>
      <c r="AK40" s="22">
        <f t="shared" si="14"/>
        <v>-0.44541324818725475</v>
      </c>
      <c r="AL40" s="22">
        <f t="shared" si="14"/>
        <v>-0.18041067818725476</v>
      </c>
      <c r="AM40" s="22">
        <f t="shared" si="14"/>
        <v>0.13982723181274528</v>
      </c>
      <c r="AN40" s="22">
        <f t="shared" si="14"/>
        <v>0.4619680718127453</v>
      </c>
    </row>
    <row r="41" spans="12:40" x14ac:dyDescent="0.3">
      <c r="Z41" s="28">
        <v>-9.0095868401176421E-4</v>
      </c>
      <c r="AA41" s="28">
        <v>-7.4430536669185005E-2</v>
      </c>
      <c r="AB41" s="28">
        <v>2.3242057758253606E-2</v>
      </c>
      <c r="AC41" s="28">
        <v>-0.10748782042952688</v>
      </c>
      <c r="AF41">
        <v>-0.18396688821932167</v>
      </c>
      <c r="AG41">
        <v>-0.18396688821932167</v>
      </c>
      <c r="AH41">
        <v>-0.18396688821932167</v>
      </c>
      <c r="AI41">
        <v>-0.18396688821932167</v>
      </c>
      <c r="AK41" s="22">
        <f t="shared" si="14"/>
        <v>-0.23774842063024162</v>
      </c>
      <c r="AL41" s="22">
        <f t="shared" si="14"/>
        <v>-9.0990790630241666E-2</v>
      </c>
      <c r="AM41" s="22">
        <f t="shared" si="14"/>
        <v>-0.55132879063024154</v>
      </c>
      <c r="AN41" s="22">
        <f t="shared" si="14"/>
        <v>-0.59626461063024161</v>
      </c>
    </row>
    <row r="42" spans="12:40" x14ac:dyDescent="0.3">
      <c r="Z42" s="28">
        <v>2.737425829661101E-3</v>
      </c>
      <c r="AA42" s="28">
        <v>3.9604263806128907E-2</v>
      </c>
      <c r="AB42" s="28">
        <v>-9.3539837877248851E-3</v>
      </c>
      <c r="AC42" s="28">
        <v>4.9303814132025309E-2</v>
      </c>
      <c r="AF42">
        <v>-0.29636222212852631</v>
      </c>
      <c r="AG42">
        <v>-0.29636222212852631</v>
      </c>
      <c r="AH42">
        <v>-0.29636222212852631</v>
      </c>
      <c r="AI42">
        <v>-0.29636222212852631</v>
      </c>
      <c r="AK42" s="22">
        <f t="shared" si="14"/>
        <v>0.42838902748161256</v>
      </c>
      <c r="AL42" s="22">
        <f t="shared" si="14"/>
        <v>0.70024612748161252</v>
      </c>
      <c r="AM42" s="22">
        <f t="shared" si="14"/>
        <v>-1.3878942518387442E-2</v>
      </c>
      <c r="AN42" s="22">
        <f t="shared" si="14"/>
        <v>0.5238925674816125</v>
      </c>
    </row>
    <row r="43" spans="12:40" x14ac:dyDescent="0.3">
      <c r="Z43" s="28">
        <v>-1.2249782884542065E-3</v>
      </c>
      <c r="AA43" s="28">
        <v>-7.3848005985433049E-2</v>
      </c>
      <c r="AB43" s="28">
        <v>2.2528666702600997E-2</v>
      </c>
      <c r="AC43" s="28">
        <v>-0.10530255421441621</v>
      </c>
      <c r="AF43">
        <v>-0.29636222212852631</v>
      </c>
      <c r="AG43">
        <v>-0.29636222212852631</v>
      </c>
      <c r="AH43">
        <v>-0.29636222212852631</v>
      </c>
      <c r="AI43">
        <v>-0.29636222212852631</v>
      </c>
      <c r="AK43" s="22">
        <f t="shared" si="14"/>
        <v>0.20294412748161256</v>
      </c>
      <c r="AL43" s="22">
        <f t="shared" si="14"/>
        <v>-0.30043376251838744</v>
      </c>
      <c r="AM43" s="22">
        <f t="shared" si="14"/>
        <v>0.20282391748161255</v>
      </c>
      <c r="AN43" s="22">
        <f t="shared" si="14"/>
        <v>0.79114439748161258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7.0588127264034888E-3</v>
      </c>
      <c r="AG48">
        <v>0.10085063329448687</v>
      </c>
      <c r="AH48">
        <v>-2.4035171387131703E-2</v>
      </c>
      <c r="AI48">
        <v>0.12593560977642312</v>
      </c>
      <c r="AK48" s="22">
        <f t="shared" ref="AK48:AN53" si="15">C13-0.02*AF48</f>
        <v>0.24776041007229802</v>
      </c>
      <c r="AL48" s="22">
        <f t="shared" si="15"/>
        <v>-6.8749597774307419E-2</v>
      </c>
      <c r="AM48" s="22">
        <f t="shared" si="15"/>
        <v>0.32389023161968084</v>
      </c>
      <c r="AN48" s="22">
        <f t="shared" si="15"/>
        <v>0.76308589447262432</v>
      </c>
    </row>
    <row r="49" spans="27:40" x14ac:dyDescent="0.3">
      <c r="AF49">
        <v>-2.5420481918453017E-3</v>
      </c>
      <c r="AG49">
        <v>-0.55820616265705569</v>
      </c>
      <c r="AH49">
        <v>0.17888839986460681</v>
      </c>
      <c r="AI49">
        <v>-0.81865006592511969</v>
      </c>
      <c r="AK49" s="22">
        <f t="shared" si="15"/>
        <v>-0.10291135446600269</v>
      </c>
      <c r="AL49" s="22">
        <f t="shared" si="15"/>
        <v>-0.15009199087681721</v>
      </c>
      <c r="AM49" s="22">
        <f t="shared" si="15"/>
        <v>0.80692785886452434</v>
      </c>
      <c r="AN49" s="22">
        <f t="shared" si="15"/>
        <v>0.28400336615234872</v>
      </c>
    </row>
    <row r="50" spans="27:40" x14ac:dyDescent="0.3">
      <c r="AF50">
        <v>1.95086569348146E-2</v>
      </c>
      <c r="AG50">
        <v>0.10609763112071853</v>
      </c>
      <c r="AH50">
        <v>-1.013590615954214E-2</v>
      </c>
      <c r="AI50">
        <v>9.230144221334767E-2</v>
      </c>
      <c r="AK50" s="22">
        <f t="shared" si="15"/>
        <v>-0.23187729468298332</v>
      </c>
      <c r="AL50" s="22">
        <f t="shared" si="15"/>
        <v>0.26146573081732316</v>
      </c>
      <c r="AM50" s="22">
        <f t="shared" si="15"/>
        <v>-0.22598598444604831</v>
      </c>
      <c r="AN50" s="22">
        <f t="shared" si="15"/>
        <v>-0.26086679005921237</v>
      </c>
    </row>
    <row r="51" spans="27:40" x14ac:dyDescent="0.3">
      <c r="AF51">
        <v>6.130298009112801E-3</v>
      </c>
      <c r="AG51">
        <v>5.3439203484098835E-2</v>
      </c>
      <c r="AH51">
        <v>-9.7746821245935228E-3</v>
      </c>
      <c r="AI51">
        <v>5.8854974882207395E-2</v>
      </c>
      <c r="AK51" s="22">
        <f t="shared" si="15"/>
        <v>0.12135632405308108</v>
      </c>
      <c r="AL51" s="22">
        <f t="shared" si="15"/>
        <v>-0.95845136893623628</v>
      </c>
      <c r="AM51" s="22">
        <f t="shared" si="15"/>
        <v>-0.86130530804990724</v>
      </c>
      <c r="AN51" s="22">
        <f t="shared" si="15"/>
        <v>-0.28618757390112975</v>
      </c>
    </row>
    <row r="52" spans="27:40" x14ac:dyDescent="0.3">
      <c r="AF52">
        <v>7.5929999239808324E-3</v>
      </c>
      <c r="AG52">
        <v>0.10963519833787042</v>
      </c>
      <c r="AH52">
        <v>-2.6251188674860728E-2</v>
      </c>
      <c r="AI52">
        <v>0.13721745734753418</v>
      </c>
      <c r="AK52" s="22">
        <f t="shared" si="15"/>
        <v>-0.50708977086762363</v>
      </c>
      <c r="AL52" s="22">
        <f t="shared" si="15"/>
        <v>0.1576259652429545</v>
      </c>
      <c r="AM52" s="22">
        <f t="shared" si="15"/>
        <v>-0.45400162695999313</v>
      </c>
      <c r="AN52" s="22">
        <f t="shared" si="15"/>
        <v>-0.70421831661905332</v>
      </c>
    </row>
    <row r="53" spans="27:40" x14ac:dyDescent="0.3">
      <c r="AF53">
        <v>7.5929999239808324E-3</v>
      </c>
      <c r="AG53">
        <v>0.10963519833787042</v>
      </c>
      <c r="AH53">
        <v>-2.6251188674860728E-2</v>
      </c>
      <c r="AI53">
        <v>0.13721745734753418</v>
      </c>
      <c r="AK53" s="22">
        <f t="shared" si="15"/>
        <v>0.7321501691323764</v>
      </c>
      <c r="AL53" s="22">
        <f t="shared" si="15"/>
        <v>-0.1123858547570455</v>
      </c>
      <c r="AM53" s="22">
        <f t="shared" si="15"/>
        <v>3.377451304000692E-2</v>
      </c>
      <c r="AN53" s="22">
        <f t="shared" si="15"/>
        <v>-0.71044055661905325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-4.9887657453232481E-2</v>
      </c>
      <c r="AG56">
        <v>-3.6660443033009346E-2</v>
      </c>
      <c r="AH56">
        <v>0.29990350085384221</v>
      </c>
      <c r="AI56">
        <v>0.15064405187252936</v>
      </c>
      <c r="AK56" s="22">
        <f t="shared" ref="AK56:AN61" si="16">C20-0.02*AF56</f>
        <v>-0.27632136254286088</v>
      </c>
      <c r="AL56" s="22">
        <f t="shared" si="16"/>
        <v>5.351886692291348E-2</v>
      </c>
      <c r="AM56" s="22">
        <f t="shared" si="16"/>
        <v>-0.5611280220710646</v>
      </c>
      <c r="AN56" s="22">
        <f t="shared" si="16"/>
        <v>0.19418125847706966</v>
      </c>
    </row>
    <row r="57" spans="27:40" x14ac:dyDescent="0.3">
      <c r="AF57">
        <v>0.11644562147913912</v>
      </c>
      <c r="AG57">
        <v>8.693281885260408E-2</v>
      </c>
      <c r="AH57">
        <v>-0.65304877050433818</v>
      </c>
      <c r="AI57">
        <v>-0.30479343891429855</v>
      </c>
      <c r="AK57" s="22">
        <f t="shared" si="16"/>
        <v>-0.28337097738939077</v>
      </c>
      <c r="AL57" s="22">
        <f t="shared" si="16"/>
        <v>-0.13731615432865757</v>
      </c>
      <c r="AM57" s="22">
        <f t="shared" si="16"/>
        <v>-0.36444693155705277</v>
      </c>
      <c r="AN57" s="22">
        <f t="shared" si="16"/>
        <v>0.89741121060249962</v>
      </c>
    </row>
    <row r="58" spans="27:40" x14ac:dyDescent="0.3">
      <c r="AF58">
        <v>-0.10764658120772268</v>
      </c>
      <c r="AG58">
        <v>-7.9214922888891981E-2</v>
      </c>
      <c r="AH58">
        <v>0.64402462358239454</v>
      </c>
      <c r="AI58">
        <v>0.32195442529299945</v>
      </c>
      <c r="AK58" s="22">
        <f t="shared" si="16"/>
        <v>-1.5635191429359284E-2</v>
      </c>
      <c r="AL58" s="22">
        <f t="shared" si="16"/>
        <v>-0.53302595851635048</v>
      </c>
      <c r="AM58" s="22">
        <f t="shared" si="16"/>
        <v>0.44273426083731376</v>
      </c>
      <c r="AN58" s="22">
        <f t="shared" si="16"/>
        <v>-0.59627793685011166</v>
      </c>
    </row>
    <row r="59" spans="27:40" x14ac:dyDescent="0.3">
      <c r="AF59">
        <v>-3.5564288402120794E-2</v>
      </c>
      <c r="AG59">
        <v>-2.6290588162794674E-2</v>
      </c>
      <c r="AH59">
        <v>0.20976476694659885</v>
      </c>
      <c r="AI59">
        <v>0.10335398628966182</v>
      </c>
      <c r="AK59" s="22">
        <f t="shared" si="16"/>
        <v>0.1014384798394455</v>
      </c>
      <c r="AL59" s="22">
        <f t="shared" si="16"/>
        <v>-0.98125024099095393</v>
      </c>
      <c r="AM59" s="22">
        <f t="shared" si="16"/>
        <v>-0.65242797593381285</v>
      </c>
      <c r="AN59" s="22">
        <f t="shared" si="16"/>
        <v>0.10411314675195173</v>
      </c>
    </row>
    <row r="60" spans="27:40" x14ac:dyDescent="0.3">
      <c r="AF60">
        <v>-5.3823290603861332E-2</v>
      </c>
      <c r="AG60">
        <v>-3.960746144444599E-2</v>
      </c>
      <c r="AH60">
        <v>0.32201231179119727</v>
      </c>
      <c r="AI60">
        <v>0.16097721264649975</v>
      </c>
      <c r="AK60" s="22">
        <f t="shared" si="16"/>
        <v>0.36478999928532035</v>
      </c>
      <c r="AL60" s="22">
        <f t="shared" si="16"/>
        <v>8.3598890741824819E-2</v>
      </c>
      <c r="AM60" s="22">
        <f t="shared" si="16"/>
        <v>-4.2093239581343138E-2</v>
      </c>
      <c r="AN60" s="22">
        <f t="shared" si="16"/>
        <v>-0.14347990842505587</v>
      </c>
    </row>
    <row r="61" spans="27:40" x14ac:dyDescent="0.3">
      <c r="AF61">
        <v>-5.3823290603861332E-2</v>
      </c>
      <c r="AG61">
        <v>-3.960746144444599E-2</v>
      </c>
      <c r="AH61">
        <v>0.32201231179119727</v>
      </c>
      <c r="AI61">
        <v>0.16097721264649975</v>
      </c>
      <c r="AK61" s="22">
        <f t="shared" si="16"/>
        <v>-0.74370429071467981</v>
      </c>
      <c r="AL61" s="22">
        <f t="shared" si="16"/>
        <v>-0.36200734925817524</v>
      </c>
      <c r="AM61" s="22">
        <f t="shared" si="16"/>
        <v>-0.21458848958134316</v>
      </c>
      <c r="AN61" s="22">
        <f t="shared" si="16"/>
        <v>0.53563305157494423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60C4-94CC-4144-9940-B3BA799F85E4}">
  <dimension ref="B3:AT61"/>
  <sheetViews>
    <sheetView topLeftCell="F1" zoomScale="70" zoomScaleNormal="70" workbookViewId="0">
      <selection activeCell="K4" sqref="K4:K9"/>
    </sheetView>
  </sheetViews>
  <sheetFormatPr defaultRowHeight="14.4" x14ac:dyDescent="0.3"/>
  <sheetData>
    <row r="3" spans="2:46" x14ac:dyDescent="0.3">
      <c r="B3" t="s">
        <v>0</v>
      </c>
      <c r="C3" t="s">
        <v>1</v>
      </c>
      <c r="J3" s="1" t="s">
        <v>7</v>
      </c>
      <c r="K3" s="1" t="s">
        <v>90</v>
      </c>
    </row>
    <row r="4" spans="2:46" x14ac:dyDescent="0.3">
      <c r="C4" s="10">
        <f t="array" ref="C4:I9">TRANSPOSE(Data!C14:H20)</f>
        <v>0.84126999999999996</v>
      </c>
      <c r="D4" s="8">
        <v>1</v>
      </c>
      <c r="E4" s="10">
        <v>3</v>
      </c>
      <c r="F4" s="8">
        <v>1</v>
      </c>
      <c r="G4" s="10">
        <v>1</v>
      </c>
      <c r="H4" s="8">
        <v>1</v>
      </c>
      <c r="I4" s="10">
        <v>1</v>
      </c>
      <c r="J4">
        <v>1</v>
      </c>
      <c r="K4">
        <f>IF(AE6&gt;0.5,1,0)</f>
        <v>1</v>
      </c>
      <c r="AG4" s="1" t="s">
        <v>89</v>
      </c>
    </row>
    <row r="5" spans="2:46" x14ac:dyDescent="0.3">
      <c r="C5" s="10">
        <v>5.2909999999999997E-3</v>
      </c>
      <c r="D5" s="8">
        <v>3</v>
      </c>
      <c r="E5" s="10">
        <v>1</v>
      </c>
      <c r="F5" s="8">
        <v>0.1</v>
      </c>
      <c r="G5" s="10">
        <v>0</v>
      </c>
      <c r="H5" s="8">
        <v>0</v>
      </c>
      <c r="I5" s="10">
        <v>0</v>
      </c>
      <c r="J5">
        <v>0</v>
      </c>
      <c r="K5">
        <f t="shared" ref="K5:K9" si="0">IF(AE7&gt;0.5,1,0)</f>
        <v>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Z5" s="1" t="s">
        <v>11</v>
      </c>
      <c r="AE5" s="1" t="s">
        <v>22</v>
      </c>
      <c r="AI5" s="1" t="s">
        <v>21</v>
      </c>
      <c r="AM5" s="1" t="s">
        <v>82</v>
      </c>
    </row>
    <row r="6" spans="2:46" x14ac:dyDescent="0.3">
      <c r="C6" s="10">
        <v>1</v>
      </c>
      <c r="D6" s="8">
        <v>1</v>
      </c>
      <c r="E6" s="10">
        <v>3</v>
      </c>
      <c r="F6" s="8">
        <v>0.9</v>
      </c>
      <c r="G6" s="10">
        <v>1</v>
      </c>
      <c r="H6" s="8">
        <v>1</v>
      </c>
      <c r="I6" s="10">
        <v>1</v>
      </c>
      <c r="J6">
        <v>1</v>
      </c>
      <c r="K6">
        <f t="shared" si="0"/>
        <v>1</v>
      </c>
      <c r="L6" s="18"/>
      <c r="M6" s="18"/>
      <c r="N6" s="18"/>
      <c r="O6" s="18"/>
      <c r="P6" s="18"/>
      <c r="Q6" s="18"/>
      <c r="R6" s="18">
        <f t="array" ref="R6:W11">MMULT(M9:P14,TRANSPOSE(M18:P23))</f>
        <v>1.9268721353731559</v>
      </c>
      <c r="S6" s="18">
        <v>-2.0895869871561796</v>
      </c>
      <c r="T6" s="18">
        <v>1.8933071995132029</v>
      </c>
      <c r="U6" s="18">
        <v>-1.053602612497218</v>
      </c>
      <c r="V6" s="18">
        <v>1.808796048887598</v>
      </c>
      <c r="W6" s="18">
        <v>-2.9089739156434238</v>
      </c>
      <c r="X6" s="18"/>
      <c r="Z6">
        <f t="array" ref="Z6:AC11">MMULT(R29:W34,M27:P32)</f>
        <v>-1.4451185597189562</v>
      </c>
      <c r="AA6">
        <v>-0.86274798160800104</v>
      </c>
      <c r="AB6">
        <v>0.55694117819910738</v>
      </c>
      <c r="AC6">
        <v>2.0307352731095789</v>
      </c>
      <c r="AE6" s="25">
        <f>1/(1+EXP(-SUM(Z6:AC6)))</f>
        <v>0.5694996202227679</v>
      </c>
      <c r="AG6" s="25">
        <f t="shared" ref="AG6:AG11" si="1">AE6-J4</f>
        <v>-0.4305003797772321</v>
      </c>
      <c r="AI6" s="25">
        <f>-J4*LN(AE6)-(1-J4)*LN(1-AE6)</f>
        <v>0.56299716295593394</v>
      </c>
    </row>
    <row r="7" spans="2:46" x14ac:dyDescent="0.3">
      <c r="C7" s="10">
        <v>1.5873000000000002E-2</v>
      </c>
      <c r="D7" s="8">
        <v>2</v>
      </c>
      <c r="E7" s="10">
        <v>1</v>
      </c>
      <c r="F7" s="8">
        <v>0.2</v>
      </c>
      <c r="G7" s="10">
        <v>0</v>
      </c>
      <c r="H7" s="8">
        <v>0</v>
      </c>
      <c r="I7" s="10">
        <v>0</v>
      </c>
      <c r="J7">
        <v>0</v>
      </c>
      <c r="K7">
        <f t="shared" si="0"/>
        <v>0</v>
      </c>
      <c r="L7" s="19" t="s">
        <v>2</v>
      </c>
      <c r="M7" s="20"/>
      <c r="N7" s="18"/>
      <c r="O7" s="18"/>
      <c r="P7" s="18"/>
      <c r="Q7" s="18"/>
      <c r="R7" s="18">
        <v>0.27180040383431103</v>
      </c>
      <c r="S7" s="18">
        <v>0.42602724445294204</v>
      </c>
      <c r="T7" s="18">
        <v>0.23116503697605015</v>
      </c>
      <c r="U7" s="18">
        <v>0.3790335888862395</v>
      </c>
      <c r="V7" s="18">
        <v>0.39026810589510086</v>
      </c>
      <c r="W7" s="18">
        <v>0.14052205920104299</v>
      </c>
      <c r="X7" s="18"/>
      <c r="Z7">
        <v>-1.8094956632026369</v>
      </c>
      <c r="AA7">
        <v>-0.52754892914618479</v>
      </c>
      <c r="AB7">
        <v>0.65819351959797556</v>
      </c>
      <c r="AC7">
        <v>1.5723354802121068</v>
      </c>
      <c r="AE7" s="25">
        <f t="shared" ref="AE7:AE11" si="2">1/(1+EXP(-SUM(Z7:AC7)))</f>
        <v>0.47339625000590829</v>
      </c>
      <c r="AG7" s="25">
        <f t="shared" si="1"/>
        <v>0.47339625000590829</v>
      </c>
      <c r="AI7" s="25">
        <f t="shared" ref="AI7:AI11" si="3">-J5*LN(AE7)-(1-J5)*LN(1-AE7)</f>
        <v>0.64130691080192648</v>
      </c>
      <c r="AM7" s="26">
        <f t="array" ref="AM7:AR12">MMULT(Z15:AC20,TRANSPOSE(M27:P32))</f>
        <v>-0.14059479939978292</v>
      </c>
      <c r="AN7" s="26">
        <v>0.2104080738884257</v>
      </c>
      <c r="AO7" s="26">
        <v>-0.1590222169632084</v>
      </c>
      <c r="AP7" s="26">
        <v>0.23197174085113109</v>
      </c>
      <c r="AQ7" s="26">
        <v>-0.23762131115777185</v>
      </c>
      <c r="AR7" s="26">
        <v>0.38101722395183563</v>
      </c>
    </row>
    <row r="8" spans="2:46" x14ac:dyDescent="0.3">
      <c r="C8" s="10">
        <v>0.94708999999999999</v>
      </c>
      <c r="D8" s="8">
        <v>1</v>
      </c>
      <c r="E8" s="10">
        <v>3</v>
      </c>
      <c r="F8" s="8">
        <v>0.8</v>
      </c>
      <c r="G8" s="10">
        <v>1</v>
      </c>
      <c r="H8" s="8">
        <v>1</v>
      </c>
      <c r="I8" s="10">
        <v>1</v>
      </c>
      <c r="J8">
        <v>1</v>
      </c>
      <c r="K8">
        <f t="shared" si="0"/>
        <v>1</v>
      </c>
      <c r="L8" s="18"/>
      <c r="M8" s="21" t="s">
        <v>65</v>
      </c>
      <c r="N8" s="21" t="s">
        <v>66</v>
      </c>
      <c r="O8" s="21" t="s">
        <v>67</v>
      </c>
      <c r="P8" s="21" t="s">
        <v>68</v>
      </c>
      <c r="Q8" s="18"/>
      <c r="R8" s="18">
        <v>1.5612653407927728</v>
      </c>
      <c r="S8" s="18">
        <v>-1.9847598738332621</v>
      </c>
      <c r="T8" s="18">
        <v>1.5350669504330594</v>
      </c>
      <c r="U8" s="18">
        <v>-1.0296755797896164</v>
      </c>
      <c r="V8" s="18">
        <v>1.4687306243644798</v>
      </c>
      <c r="W8" s="18">
        <v>-2.7699351930600971</v>
      </c>
      <c r="X8" s="18"/>
      <c r="Z8">
        <v>-1.4672109612494575</v>
      </c>
      <c r="AA8">
        <v>-0.83905356772534645</v>
      </c>
      <c r="AB8">
        <v>0.56279314277348613</v>
      </c>
      <c r="AC8">
        <v>1.996656275353472</v>
      </c>
      <c r="AE8" s="25">
        <f t="shared" si="2"/>
        <v>0.56296025479030953</v>
      </c>
      <c r="AG8" s="25">
        <f t="shared" si="1"/>
        <v>-0.43703974520969047</v>
      </c>
      <c r="AI8" s="25">
        <f t="shared" si="3"/>
        <v>0.57454624873351412</v>
      </c>
      <c r="AM8" s="26">
        <v>0.15460393052528998</v>
      </c>
      <c r="AN8" s="26">
        <v>-0.2313735314270558</v>
      </c>
      <c r="AO8" s="26">
        <v>0.174867490748704</v>
      </c>
      <c r="AP8" s="26">
        <v>-0.25508584285824026</v>
      </c>
      <c r="AQ8" s="26">
        <v>0.26129834701141297</v>
      </c>
      <c r="AR8" s="26">
        <v>-0.41898249915550878</v>
      </c>
    </row>
    <row r="9" spans="2:46" x14ac:dyDescent="0.3">
      <c r="C9" s="7">
        <v>0</v>
      </c>
      <c r="D9" s="9">
        <v>4</v>
      </c>
      <c r="E9" s="7">
        <v>1</v>
      </c>
      <c r="F9" s="9">
        <v>0.3</v>
      </c>
      <c r="G9" s="7">
        <v>0</v>
      </c>
      <c r="H9" s="9">
        <v>0</v>
      </c>
      <c r="I9" s="7">
        <v>0</v>
      </c>
      <c r="J9">
        <v>0</v>
      </c>
      <c r="K9">
        <f t="shared" si="0"/>
        <v>0</v>
      </c>
      <c r="L9" s="18" t="s">
        <v>69</v>
      </c>
      <c r="M9" s="18">
        <f t="array" ref="M9:P14">MMULT(C4:H9,C13:F18)</f>
        <v>-0.24369311601559662</v>
      </c>
      <c r="N9" s="18">
        <v>-0.3367430309947666</v>
      </c>
      <c r="O9" s="18">
        <v>-0.88008338128882513</v>
      </c>
      <c r="P9" s="18">
        <v>-1.5574821807215402</v>
      </c>
      <c r="Q9" s="18"/>
      <c r="R9" s="18">
        <v>0.45693409440967925</v>
      </c>
      <c r="S9" s="18">
        <v>0.26704848097364842</v>
      </c>
      <c r="T9" s="18">
        <v>0.43062970968349112</v>
      </c>
      <c r="U9" s="18">
        <v>0.26498481639925658</v>
      </c>
      <c r="V9" s="18">
        <v>0.5172047109887119</v>
      </c>
      <c r="W9" s="18">
        <v>9.1224696505149083E-2</v>
      </c>
      <c r="X9" s="18"/>
      <c r="Z9">
        <v>-1.7802240169451529</v>
      </c>
      <c r="AA9">
        <v>-0.55892346247573832</v>
      </c>
      <c r="AB9">
        <v>0.65005645062733308</v>
      </c>
      <c r="AC9">
        <v>1.6165530438786204</v>
      </c>
      <c r="AE9" s="25">
        <f t="shared" si="2"/>
        <v>0.48187345120232622</v>
      </c>
      <c r="AG9" s="25">
        <f t="shared" si="1"/>
        <v>0.48187345120232622</v>
      </c>
      <c r="AI9" s="25">
        <f t="shared" si="3"/>
        <v>0.65753576386148671</v>
      </c>
      <c r="AM9" s="26">
        <v>-0.1427304555208162</v>
      </c>
      <c r="AN9" s="26">
        <v>0.21360420413529835</v>
      </c>
      <c r="AO9" s="26">
        <v>-0.16143778832493449</v>
      </c>
      <c r="AP9" s="26">
        <v>0.2354954264381543</v>
      </c>
      <c r="AQ9" s="26">
        <v>-0.2412308145663512</v>
      </c>
      <c r="AR9" s="26">
        <v>0.38680493281465061</v>
      </c>
    </row>
    <row r="10" spans="2:46" x14ac:dyDescent="0.3">
      <c r="L10" s="18" t="s">
        <v>33</v>
      </c>
      <c r="M10" s="18">
        <v>-0.52716482534599074</v>
      </c>
      <c r="N10" s="18">
        <v>-0.28501913282857594</v>
      </c>
      <c r="O10" s="18">
        <v>2.1103807645580335</v>
      </c>
      <c r="P10" s="18">
        <v>0.56656203847537545</v>
      </c>
      <c r="Q10" s="18"/>
      <c r="R10" s="18">
        <v>1.2628261424085383</v>
      </c>
      <c r="S10" s="18">
        <v>-2.1412342662008625</v>
      </c>
      <c r="T10" s="18">
        <v>1.2467141935759003</v>
      </c>
      <c r="U10" s="18">
        <v>-1.1588936670419776</v>
      </c>
      <c r="V10" s="18">
        <v>1.1965377782492965</v>
      </c>
      <c r="W10" s="18">
        <v>-2.997742357588062</v>
      </c>
      <c r="X10" s="18"/>
      <c r="Z10">
        <v>-1.4725317522728225</v>
      </c>
      <c r="AA10">
        <v>-0.83138777881908021</v>
      </c>
      <c r="AB10">
        <v>0.56416664333345634</v>
      </c>
      <c r="AC10">
        <v>1.9848562653213722</v>
      </c>
      <c r="AE10" s="25">
        <f t="shared" si="2"/>
        <v>0.56097091057478021</v>
      </c>
      <c r="AG10" s="25">
        <f t="shared" si="1"/>
        <v>-0.43902908942521979</v>
      </c>
      <c r="AI10" s="25">
        <f t="shared" si="3"/>
        <v>0.57808622761172246</v>
      </c>
      <c r="AM10" s="26">
        <v>0.15737245398698529</v>
      </c>
      <c r="AN10" s="26">
        <v>-0.23551678346466354</v>
      </c>
      <c r="AO10" s="26">
        <v>0.17799887783039514</v>
      </c>
      <c r="AP10" s="26">
        <v>-0.25965371599251241</v>
      </c>
      <c r="AQ10" s="26">
        <v>0.26597746869832872</v>
      </c>
      <c r="AR10" s="26">
        <v>-0.426485302447835</v>
      </c>
    </row>
    <row r="11" spans="2:46" x14ac:dyDescent="0.3">
      <c r="L11" s="18" t="s">
        <v>70</v>
      </c>
      <c r="M11" s="18">
        <v>-0.21650173853012888</v>
      </c>
      <c r="N11" s="18">
        <v>-0.25181051775585878</v>
      </c>
      <c r="O11" s="18">
        <v>-0.74254175401884259</v>
      </c>
      <c r="P11" s="18">
        <v>-1.4077387993017874</v>
      </c>
      <c r="Q11" s="18"/>
      <c r="R11" s="18">
        <v>1.0306808156538549</v>
      </c>
      <c r="S11" s="18">
        <v>0.86498559340941128</v>
      </c>
      <c r="T11" s="18">
        <v>0.94742706670175059</v>
      </c>
      <c r="U11" s="18">
        <v>0.76970641115933358</v>
      </c>
      <c r="V11" s="18">
        <v>1.1291176584927927</v>
      </c>
      <c r="W11" s="18">
        <v>0.60727764732514311</v>
      </c>
      <c r="X11" s="18"/>
      <c r="Z11">
        <v>-1.7774338637527112</v>
      </c>
      <c r="AA11">
        <v>-0.56165210028538615</v>
      </c>
      <c r="AB11">
        <v>0.649956326486684</v>
      </c>
      <c r="AC11">
        <v>1.6217836917117128</v>
      </c>
      <c r="AE11" s="25">
        <f t="shared" si="2"/>
        <v>0.48316987411254708</v>
      </c>
      <c r="AG11" s="25">
        <f t="shared" si="1"/>
        <v>0.48316987411254708</v>
      </c>
      <c r="AI11" s="25">
        <f t="shared" si="3"/>
        <v>0.66004103508684675</v>
      </c>
      <c r="AM11" s="26">
        <v>-0.14338014472913729</v>
      </c>
      <c r="AN11" s="26">
        <v>0.21457650080297419</v>
      </c>
      <c r="AO11" s="26">
        <v>-0.16217263071373822</v>
      </c>
      <c r="AP11" s="26">
        <v>0.23656736890906982</v>
      </c>
      <c r="AQ11" s="26">
        <v>-0.2423288637273826</v>
      </c>
      <c r="AR11" s="26">
        <v>0.38856561514175542</v>
      </c>
    </row>
    <row r="12" spans="2:46" x14ac:dyDescent="0.3">
      <c r="B12" t="s">
        <v>88</v>
      </c>
      <c r="C12" t="s">
        <v>65</v>
      </c>
      <c r="D12" t="s">
        <v>66</v>
      </c>
      <c r="E12" t="s">
        <v>67</v>
      </c>
      <c r="F12" t="s">
        <v>68</v>
      </c>
      <c r="L12" s="18" t="s">
        <v>43</v>
      </c>
      <c r="M12" s="18">
        <v>-0.40949603781529492</v>
      </c>
      <c r="N12" s="18">
        <v>-0.2314997870890301</v>
      </c>
      <c r="O12" s="18">
        <v>1.2207497813195181</v>
      </c>
      <c r="P12" s="18">
        <v>0.26201488986822308</v>
      </c>
      <c r="Q12" s="18"/>
      <c r="R12" s="18"/>
      <c r="S12" s="18"/>
      <c r="T12" s="18"/>
      <c r="U12" s="18"/>
      <c r="V12" s="18"/>
      <c r="W12" s="18"/>
      <c r="X12" s="18"/>
      <c r="AI12" s="27">
        <f>AVERAGE(AI6:AI11)</f>
        <v>0.61241889150857176</v>
      </c>
      <c r="AM12" s="26">
        <v>0.15779584575981964</v>
      </c>
      <c r="AN12" s="26">
        <v>-0.23615041321343527</v>
      </c>
      <c r="AO12" s="26">
        <v>0.17847776253059433</v>
      </c>
      <c r="AP12" s="26">
        <v>-0.2603522832725666</v>
      </c>
      <c r="AQ12" s="26">
        <v>0.26669304927900317</v>
      </c>
      <c r="AR12" s="26">
        <v>-0.42763271016574589</v>
      </c>
    </row>
    <row r="13" spans="2:46" x14ac:dyDescent="0.3">
      <c r="B13" t="s">
        <v>69</v>
      </c>
      <c r="C13" s="22">
        <f>'Seventh Iteration'!AK48</f>
        <v>0.24776041007229802</v>
      </c>
      <c r="D13" s="22">
        <f>'Seventh Iteration'!AL48</f>
        <v>-6.8749597774307419E-2</v>
      </c>
      <c r="E13" s="22">
        <f>'Seventh Iteration'!AM48</f>
        <v>0.32389023161968084</v>
      </c>
      <c r="F13" s="22">
        <f>'Seventh Iteration'!AN48</f>
        <v>0.76308589447262432</v>
      </c>
      <c r="L13" s="18" t="s">
        <v>49</v>
      </c>
      <c r="M13" s="18">
        <v>-0.24174637423236223</v>
      </c>
      <c r="N13" s="18">
        <v>-0.1523278396439966</v>
      </c>
      <c r="O13" s="18">
        <v>-0.6735482553688491</v>
      </c>
      <c r="P13" s="18">
        <v>-1.4194949165882211</v>
      </c>
      <c r="Q13" s="18"/>
      <c r="R13" s="19" t="s">
        <v>5</v>
      </c>
      <c r="S13" s="18"/>
      <c r="T13" s="18"/>
      <c r="U13" s="20"/>
      <c r="V13" s="18"/>
      <c r="W13" s="18"/>
      <c r="X13" s="18"/>
    </row>
    <row r="14" spans="2:46" x14ac:dyDescent="0.3">
      <c r="B14" t="s">
        <v>33</v>
      </c>
      <c r="C14" s="22">
        <f>'Seventh Iteration'!AK49</f>
        <v>-0.10291135446600269</v>
      </c>
      <c r="D14" s="22">
        <f>'Seventh Iteration'!AL49</f>
        <v>-0.15009199087681721</v>
      </c>
      <c r="E14" s="22">
        <f>'Seventh Iteration'!AM49</f>
        <v>0.80692785886452434</v>
      </c>
      <c r="F14" s="22">
        <f>'Seventh Iteration'!AN49</f>
        <v>0.28400336615234872</v>
      </c>
      <c r="L14" s="18" t="s">
        <v>53</v>
      </c>
      <c r="M14" s="18">
        <v>-0.60711581533106984</v>
      </c>
      <c r="N14" s="18">
        <v>-0.62643764337081653</v>
      </c>
      <c r="O14" s="18">
        <v>2.7433338585970768</v>
      </c>
      <c r="P14" s="18">
        <v>0.78929040237984371</v>
      </c>
      <c r="Q14" s="18"/>
      <c r="R14" s="23">
        <f>R6/SQRT(4)</f>
        <v>0.96343606768657797</v>
      </c>
      <c r="S14" s="23">
        <f t="shared" ref="S14:W19" si="4">S6/SQRT(4)</f>
        <v>-1.0447934935780898</v>
      </c>
      <c r="T14" s="23">
        <f t="shared" si="4"/>
        <v>0.94665359975660146</v>
      </c>
      <c r="U14" s="23">
        <f t="shared" si="4"/>
        <v>-0.52680130624860899</v>
      </c>
      <c r="V14" s="23">
        <f t="shared" si="4"/>
        <v>0.90439802444379902</v>
      </c>
      <c r="W14" s="23">
        <f t="shared" si="4"/>
        <v>-1.4544869578217119</v>
      </c>
      <c r="X14" s="18"/>
      <c r="Z14" s="1" t="s">
        <v>83</v>
      </c>
    </row>
    <row r="15" spans="2:46" x14ac:dyDescent="0.3">
      <c r="B15" t="s">
        <v>70</v>
      </c>
      <c r="C15" s="22">
        <f>'Seventh Iteration'!AK50</f>
        <v>-0.23187729468298332</v>
      </c>
      <c r="D15" s="22">
        <f>'Seventh Iteration'!AL50</f>
        <v>0.26146573081732316</v>
      </c>
      <c r="E15" s="22">
        <f>'Seventh Iteration'!AM50</f>
        <v>-0.22598598444604831</v>
      </c>
      <c r="F15" s="22">
        <f>'Seventh Iteration'!AN50</f>
        <v>-0.26086679005921237</v>
      </c>
      <c r="L15" s="18"/>
      <c r="M15" s="18"/>
      <c r="N15" s="18"/>
      <c r="O15" s="18"/>
      <c r="P15" s="18"/>
      <c r="Q15" s="18"/>
      <c r="R15" s="23">
        <f t="shared" ref="R15:V19" si="5">R7/SQRT(4)</f>
        <v>0.13590020191715552</v>
      </c>
      <c r="S15" s="23">
        <f t="shared" si="5"/>
        <v>0.21301362222647102</v>
      </c>
      <c r="T15" s="23">
        <f t="shared" si="5"/>
        <v>0.11558251848802507</v>
      </c>
      <c r="U15" s="23">
        <f t="shared" si="5"/>
        <v>0.18951679444311975</v>
      </c>
      <c r="V15" s="23">
        <f t="shared" si="5"/>
        <v>0.19513405294755043</v>
      </c>
      <c r="W15" s="23">
        <f t="shared" si="4"/>
        <v>7.0261029600521496E-2</v>
      </c>
      <c r="X15" s="18"/>
      <c r="Z15" s="26">
        <f t="shared" ref="Z15:Z20" si="6">AG6</f>
        <v>-0.4305003797772321</v>
      </c>
      <c r="AA15" s="26">
        <f>Z15</f>
        <v>-0.4305003797772321</v>
      </c>
      <c r="AB15" s="26">
        <f>AA15</f>
        <v>-0.4305003797772321</v>
      </c>
      <c r="AC15" s="26">
        <f>AB15</f>
        <v>-0.4305003797772321</v>
      </c>
      <c r="AF15">
        <f t="shared" ref="AF15:AK20" si="7">R29*AM7</f>
        <v>-4.166166546521561E-2</v>
      </c>
      <c r="AG15">
        <f t="shared" si="7"/>
        <v>8.3688687109271919E-3</v>
      </c>
      <c r="AH15">
        <f t="shared" si="7"/>
        <v>-4.6337931307061209E-2</v>
      </c>
      <c r="AI15">
        <f t="shared" si="7"/>
        <v>1.5488187028429537E-2</v>
      </c>
      <c r="AJ15">
        <f t="shared" si="7"/>
        <v>-6.6376272859757168E-2</v>
      </c>
      <c r="AK15">
        <f t="shared" si="7"/>
        <v>1.0060541380109747E-2</v>
      </c>
      <c r="AM15">
        <f>SUM(AF15:AK15)</f>
        <v>-0.12045827251256754</v>
      </c>
      <c r="AO15">
        <f t="shared" ref="AO15:AT20" si="8">AM7-$AM15</f>
        <v>-2.0136526887215386E-2</v>
      </c>
      <c r="AP15">
        <f t="shared" si="8"/>
        <v>0.33086634640099322</v>
      </c>
      <c r="AQ15">
        <f t="shared" si="8"/>
        <v>-3.8563944450640861E-2</v>
      </c>
      <c r="AR15">
        <f t="shared" si="8"/>
        <v>0.35243001336369861</v>
      </c>
      <c r="AS15">
        <f t="shared" si="8"/>
        <v>-0.11716303864520432</v>
      </c>
      <c r="AT15">
        <f t="shared" si="8"/>
        <v>0.50147549646440315</v>
      </c>
    </row>
    <row r="16" spans="2:46" x14ac:dyDescent="0.3">
      <c r="B16" t="s">
        <v>43</v>
      </c>
      <c r="C16" s="22">
        <f>'Seventh Iteration'!AK51</f>
        <v>0.12135632405308108</v>
      </c>
      <c r="D16" s="22">
        <f>'Seventh Iteration'!AL51</f>
        <v>-0.95845136893623628</v>
      </c>
      <c r="E16" s="22">
        <f>'Seventh Iteration'!AM51</f>
        <v>-0.86130530804990724</v>
      </c>
      <c r="F16" s="22">
        <f>'Seventh Iteration'!AN51</f>
        <v>-0.28618757390112975</v>
      </c>
      <c r="L16" s="19" t="s">
        <v>3</v>
      </c>
      <c r="M16" s="20"/>
      <c r="N16" s="18"/>
      <c r="O16" s="18"/>
      <c r="P16" s="18"/>
      <c r="Q16" s="18"/>
      <c r="R16" s="23">
        <f t="shared" si="5"/>
        <v>0.7806326703963864</v>
      </c>
      <c r="S16" s="23">
        <f t="shared" si="5"/>
        <v>-0.99237993691663107</v>
      </c>
      <c r="T16" s="23">
        <f t="shared" si="5"/>
        <v>0.7675334752165297</v>
      </c>
      <c r="U16" s="23">
        <f t="shared" si="5"/>
        <v>-0.51483778989480822</v>
      </c>
      <c r="V16" s="23">
        <f t="shared" si="5"/>
        <v>0.73436531218223988</v>
      </c>
      <c r="W16" s="23">
        <f t="shared" si="4"/>
        <v>-1.3849675965300485</v>
      </c>
      <c r="X16" s="18"/>
      <c r="Z16" s="26">
        <f t="shared" si="6"/>
        <v>0.47339625000590829</v>
      </c>
      <c r="AA16" s="26">
        <f t="shared" ref="AA16:AC20" si="9">Z16</f>
        <v>0.47339625000590829</v>
      </c>
      <c r="AB16" s="26">
        <f t="shared" si="9"/>
        <v>0.47339625000590829</v>
      </c>
      <c r="AC16" s="26">
        <f t="shared" si="9"/>
        <v>0.47339625000590829</v>
      </c>
      <c r="AF16">
        <f t="shared" si="7"/>
        <v>2.529256367767737E-2</v>
      </c>
      <c r="AG16">
        <f t="shared" si="7"/>
        <v>-4.0886122860276229E-2</v>
      </c>
      <c r="AH16">
        <f t="shared" si="7"/>
        <v>2.80322231434245E-2</v>
      </c>
      <c r="AI16">
        <f t="shared" si="7"/>
        <v>-4.4029531831675739E-2</v>
      </c>
      <c r="AJ16">
        <f t="shared" si="7"/>
        <v>4.5355913482906518E-2</v>
      </c>
      <c r="AK16">
        <f t="shared" si="7"/>
        <v>-6.4189127687052913E-2</v>
      </c>
      <c r="AM16">
        <f>SUM(AF16:AK16)</f>
        <v>-5.042408207499649E-2</v>
      </c>
      <c r="AO16">
        <f t="shared" si="8"/>
        <v>0.20502801260028647</v>
      </c>
      <c r="AP16">
        <f t="shared" si="8"/>
        <v>-0.18094944935205931</v>
      </c>
      <c r="AQ16">
        <f t="shared" si="8"/>
        <v>0.22529157282370049</v>
      </c>
      <c r="AR16">
        <f t="shared" si="8"/>
        <v>-0.20466176078324377</v>
      </c>
      <c r="AS16">
        <f t="shared" si="8"/>
        <v>0.31172242908640946</v>
      </c>
      <c r="AT16">
        <f t="shared" si="8"/>
        <v>-0.36855841708051229</v>
      </c>
    </row>
    <row r="17" spans="2:46" x14ac:dyDescent="0.3">
      <c r="B17" t="s">
        <v>49</v>
      </c>
      <c r="C17" s="22">
        <f>'Seventh Iteration'!AK52</f>
        <v>-0.50708977086762363</v>
      </c>
      <c r="D17" s="22">
        <f>'Seventh Iteration'!AL52</f>
        <v>0.1576259652429545</v>
      </c>
      <c r="E17" s="22">
        <f>'Seventh Iteration'!AM52</f>
        <v>-0.45400162695999313</v>
      </c>
      <c r="F17" s="22">
        <f>'Seventh Iteration'!AN52</f>
        <v>-0.70421831661905332</v>
      </c>
      <c r="L17" s="18"/>
      <c r="M17" s="21" t="s">
        <v>72</v>
      </c>
      <c r="N17" s="21" t="s">
        <v>73</v>
      </c>
      <c r="O17" s="21" t="s">
        <v>74</v>
      </c>
      <c r="P17" s="21" t="s">
        <v>75</v>
      </c>
      <c r="Q17" s="18"/>
      <c r="R17" s="23">
        <f t="shared" si="5"/>
        <v>0.22846704720483962</v>
      </c>
      <c r="S17" s="23">
        <f t="shared" si="5"/>
        <v>0.13352424048682421</v>
      </c>
      <c r="T17" s="23">
        <f t="shared" si="5"/>
        <v>0.21531485484174556</v>
      </c>
      <c r="U17" s="23">
        <f t="shared" si="5"/>
        <v>0.13249240819962829</v>
      </c>
      <c r="V17" s="23">
        <f t="shared" si="5"/>
        <v>0.25860235549435595</v>
      </c>
      <c r="W17" s="23">
        <f t="shared" si="4"/>
        <v>4.5612348252574542E-2</v>
      </c>
      <c r="X17" s="18"/>
      <c r="Z17" s="26">
        <f t="shared" si="6"/>
        <v>-0.43703974520969047</v>
      </c>
      <c r="AA17" s="26">
        <f t="shared" si="9"/>
        <v>-0.43703974520969047</v>
      </c>
      <c r="AB17" s="26">
        <f t="shared" si="9"/>
        <v>-0.43703974520969047</v>
      </c>
      <c r="AC17" s="26">
        <f t="shared" si="9"/>
        <v>-0.43703974520969047</v>
      </c>
      <c r="AF17">
        <f t="shared" si="7"/>
        <v>-4.0779622037778247E-2</v>
      </c>
      <c r="AG17">
        <f t="shared" si="7"/>
        <v>1.0363984358851849E-2</v>
      </c>
      <c r="AH17">
        <f t="shared" si="7"/>
        <v>-4.5524253746805306E-2</v>
      </c>
      <c r="AI17">
        <f t="shared" si="7"/>
        <v>1.8420157918323743E-2</v>
      </c>
      <c r="AJ17">
        <f t="shared" si="7"/>
        <v>-6.5806026704212942E-2</v>
      </c>
      <c r="AK17">
        <f t="shared" si="7"/>
        <v>1.2673900765619668E-2</v>
      </c>
      <c r="AM17">
        <f t="shared" ref="AM17:AM20" si="10">SUM(AF17:AK17)</f>
        <v>-0.11065185944600124</v>
      </c>
      <c r="AO17">
        <f t="shared" si="8"/>
        <v>-3.2078596074814961E-2</v>
      </c>
      <c r="AP17">
        <f t="shared" si="8"/>
        <v>0.3242560635812996</v>
      </c>
      <c r="AQ17">
        <f t="shared" si="8"/>
        <v>-5.0785928878933254E-2</v>
      </c>
      <c r="AR17">
        <f t="shared" si="8"/>
        <v>0.34614728588415555</v>
      </c>
      <c r="AS17">
        <f t="shared" si="8"/>
        <v>-0.13057895512034995</v>
      </c>
      <c r="AT17">
        <f t="shared" si="8"/>
        <v>0.49745679226065187</v>
      </c>
    </row>
    <row r="18" spans="2:46" x14ac:dyDescent="0.3">
      <c r="B18" t="s">
        <v>53</v>
      </c>
      <c r="C18" s="22">
        <f>'Seventh Iteration'!AK53</f>
        <v>0.7321501691323764</v>
      </c>
      <c r="D18" s="22">
        <f>'Seventh Iteration'!AL53</f>
        <v>-0.1123858547570455</v>
      </c>
      <c r="E18" s="22">
        <f>'Seventh Iteration'!AM53</f>
        <v>3.377451304000692E-2</v>
      </c>
      <c r="F18" s="22">
        <f>'Seventh Iteration'!AN53</f>
        <v>-0.71044055661905325</v>
      </c>
      <c r="L18" s="18" t="s">
        <v>69</v>
      </c>
      <c r="M18" s="18">
        <f t="array" ref="M18:P23">MMULT(C4:H9,C20:F25)</f>
        <v>-0.84021323593381514</v>
      </c>
      <c r="N18" s="18">
        <v>-2.9510289122087734</v>
      </c>
      <c r="O18" s="18">
        <v>-0.41741402526933502</v>
      </c>
      <c r="P18" s="18">
        <v>-0.23179744272699099</v>
      </c>
      <c r="Q18" s="18"/>
      <c r="R18" s="23">
        <f t="shared" si="5"/>
        <v>0.63141307120426915</v>
      </c>
      <c r="S18" s="23">
        <f t="shared" si="5"/>
        <v>-1.0706171331004313</v>
      </c>
      <c r="T18" s="23">
        <f t="shared" si="5"/>
        <v>0.62335709678795015</v>
      </c>
      <c r="U18" s="23">
        <f t="shared" si="5"/>
        <v>-0.5794468335209888</v>
      </c>
      <c r="V18" s="23">
        <f t="shared" si="5"/>
        <v>0.59826888912464826</v>
      </c>
      <c r="W18" s="23">
        <f t="shared" si="4"/>
        <v>-1.498871178794031</v>
      </c>
      <c r="X18" s="18"/>
      <c r="Z18" s="26">
        <f t="shared" si="6"/>
        <v>0.48187345120232622</v>
      </c>
      <c r="AA18" s="26">
        <f t="shared" si="9"/>
        <v>0.48187345120232622</v>
      </c>
      <c r="AB18" s="26">
        <f t="shared" si="9"/>
        <v>0.48187345120232622</v>
      </c>
      <c r="AC18" s="26">
        <f t="shared" si="9"/>
        <v>0.48187345120232622</v>
      </c>
      <c r="AF18">
        <f t="shared" si="7"/>
        <v>2.7763464735604398E-2</v>
      </c>
      <c r="AG18">
        <f t="shared" si="7"/>
        <v>-3.778623925765396E-2</v>
      </c>
      <c r="AH18">
        <f t="shared" si="7"/>
        <v>3.0992048685362351E-2</v>
      </c>
      <c r="AI18">
        <f t="shared" si="7"/>
        <v>-4.1615798495803775E-2</v>
      </c>
      <c r="AJ18">
        <f t="shared" si="7"/>
        <v>4.8359008996445636E-2</v>
      </c>
      <c r="AK18">
        <f t="shared" si="7"/>
        <v>-6.2666613798177992E-2</v>
      </c>
      <c r="AM18">
        <f t="shared" si="10"/>
        <v>-3.4954129134223341E-2</v>
      </c>
      <c r="AO18">
        <f t="shared" si="8"/>
        <v>0.19232658312120865</v>
      </c>
      <c r="AP18">
        <f t="shared" si="8"/>
        <v>-0.20056265433044018</v>
      </c>
      <c r="AQ18">
        <f t="shared" si="8"/>
        <v>0.2129530069646185</v>
      </c>
      <c r="AR18">
        <f t="shared" si="8"/>
        <v>-0.22469958685828906</v>
      </c>
      <c r="AS18">
        <f t="shared" si="8"/>
        <v>0.30093159783255208</v>
      </c>
      <c r="AT18">
        <f t="shared" si="8"/>
        <v>-0.39153117331361165</v>
      </c>
    </row>
    <row r="19" spans="2:46" x14ac:dyDescent="0.3">
      <c r="B19" t="s">
        <v>87</v>
      </c>
      <c r="C19" t="s">
        <v>72</v>
      </c>
      <c r="D19" t="s">
        <v>73</v>
      </c>
      <c r="E19" t="s">
        <v>74</v>
      </c>
      <c r="F19" t="s">
        <v>75</v>
      </c>
      <c r="L19" s="18" t="s">
        <v>33</v>
      </c>
      <c r="M19" s="18">
        <v>-0.85706629194280137</v>
      </c>
      <c r="N19" s="18">
        <v>-1.0428162772765295</v>
      </c>
      <c r="O19" s="18">
        <v>-0.71881825979200376</v>
      </c>
      <c r="P19" s="18">
        <v>2.107394422671184</v>
      </c>
      <c r="Q19" s="18"/>
      <c r="R19" s="23">
        <f t="shared" si="5"/>
        <v>0.51534040782692747</v>
      </c>
      <c r="S19" s="23">
        <f t="shared" si="5"/>
        <v>0.43249279670470564</v>
      </c>
      <c r="T19" s="23">
        <f t="shared" si="5"/>
        <v>0.47371353335087529</v>
      </c>
      <c r="U19" s="23">
        <f t="shared" si="5"/>
        <v>0.38485320557966679</v>
      </c>
      <c r="V19" s="23">
        <f t="shared" si="5"/>
        <v>0.56455882924639633</v>
      </c>
      <c r="W19" s="23">
        <f t="shared" si="4"/>
        <v>0.30363882366257156</v>
      </c>
      <c r="X19" s="18"/>
      <c r="Z19" s="26">
        <f t="shared" si="6"/>
        <v>-0.43902908942521979</v>
      </c>
      <c r="AA19" s="26">
        <f t="shared" si="9"/>
        <v>-0.43902908942521979</v>
      </c>
      <c r="AB19" s="26">
        <f t="shared" si="9"/>
        <v>-0.43902908942521979</v>
      </c>
      <c r="AC19" s="26">
        <f t="shared" si="9"/>
        <v>-0.43902908942521979</v>
      </c>
      <c r="AF19">
        <f t="shared" si="7"/>
        <v>-4.0293057755088291E-2</v>
      </c>
      <c r="AG19">
        <f t="shared" si="7"/>
        <v>1.0993628192280657E-2</v>
      </c>
      <c r="AH19">
        <f t="shared" si="7"/>
        <v>-4.5208501130948577E-2</v>
      </c>
      <c r="AI19">
        <f t="shared" si="7"/>
        <v>1.9807345480108627E-2</v>
      </c>
      <c r="AJ19">
        <f t="shared" si="7"/>
        <v>-6.5879762134311626E-2</v>
      </c>
      <c r="AK19">
        <f t="shared" si="7"/>
        <v>1.2972834681462072E-2</v>
      </c>
      <c r="AM19">
        <f t="shared" si="10"/>
        <v>-0.10760751266649715</v>
      </c>
      <c r="AO19">
        <f t="shared" si="8"/>
        <v>-3.5772632062640142E-2</v>
      </c>
      <c r="AP19">
        <f t="shared" si="8"/>
        <v>0.32218401346947134</v>
      </c>
      <c r="AQ19">
        <f t="shared" si="8"/>
        <v>-5.4565118047241068E-2</v>
      </c>
      <c r="AR19">
        <f t="shared" si="8"/>
        <v>0.34417488157556697</v>
      </c>
      <c r="AS19">
        <f t="shared" si="8"/>
        <v>-0.13472135106088545</v>
      </c>
      <c r="AT19">
        <f t="shared" si="8"/>
        <v>0.49617312780825257</v>
      </c>
    </row>
    <row r="20" spans="2:46" x14ac:dyDescent="0.3">
      <c r="B20" t="s">
        <v>69</v>
      </c>
      <c r="C20" s="22">
        <f>'Seventh Iteration'!AK56</f>
        <v>-0.27632136254286088</v>
      </c>
      <c r="D20" s="22">
        <f>'Seventh Iteration'!AL56</f>
        <v>5.351886692291348E-2</v>
      </c>
      <c r="E20" s="22">
        <f>'Seventh Iteration'!AM56</f>
        <v>-0.5611280220710646</v>
      </c>
      <c r="F20" s="22">
        <f>'Seventh Iteration'!AN56</f>
        <v>0.19418125847706966</v>
      </c>
      <c r="L20" s="18" t="s">
        <v>70</v>
      </c>
      <c r="M20" s="18">
        <v>-0.89421757379418798</v>
      </c>
      <c r="N20" s="18">
        <v>-2.8444088383630044</v>
      </c>
      <c r="O20" s="18">
        <v>-0.4412390786192939</v>
      </c>
      <c r="P20" s="18">
        <v>-0.21138636624412077</v>
      </c>
      <c r="Q20" s="18"/>
      <c r="R20" s="18"/>
      <c r="S20" s="18"/>
      <c r="T20" s="18"/>
      <c r="U20" s="18"/>
      <c r="V20" s="18"/>
      <c r="W20" s="18"/>
      <c r="X20" s="18"/>
      <c r="Z20" s="26">
        <f t="shared" si="6"/>
        <v>0.48316987411254708</v>
      </c>
      <c r="AA20" s="26">
        <f t="shared" si="9"/>
        <v>0.48316987411254708</v>
      </c>
      <c r="AB20" s="26">
        <f t="shared" si="9"/>
        <v>0.48316987411254708</v>
      </c>
      <c r="AC20" s="26">
        <f t="shared" si="9"/>
        <v>0.48316987411254708</v>
      </c>
      <c r="AF20">
        <f t="shared" si="7"/>
        <v>2.8092335251817292E-2</v>
      </c>
      <c r="AG20">
        <f t="shared" si="7"/>
        <v>-3.8699087665446309E-2</v>
      </c>
      <c r="AH20">
        <f t="shared" si="7"/>
        <v>3.0478814311894125E-2</v>
      </c>
      <c r="AI20">
        <f t="shared" si="7"/>
        <v>-4.0680267120629117E-2</v>
      </c>
      <c r="AJ20">
        <f t="shared" si="7"/>
        <v>4.9874581317230701E-2</v>
      </c>
      <c r="AK20">
        <f t="shared" si="7"/>
        <v>-6.1605908268225186E-2</v>
      </c>
      <c r="AM20">
        <f t="shared" si="10"/>
        <v>-3.253953217335849E-2</v>
      </c>
      <c r="AO20">
        <f t="shared" si="8"/>
        <v>0.19033537793317812</v>
      </c>
      <c r="AP20">
        <f t="shared" si="8"/>
        <v>-0.2036108810400768</v>
      </c>
      <c r="AQ20">
        <f t="shared" si="8"/>
        <v>0.21101729470395281</v>
      </c>
      <c r="AR20">
        <f t="shared" si="8"/>
        <v>-0.22781275109920812</v>
      </c>
      <c r="AS20">
        <f t="shared" si="8"/>
        <v>0.29923258145236165</v>
      </c>
      <c r="AT20">
        <f t="shared" si="8"/>
        <v>-0.39509317799238741</v>
      </c>
    </row>
    <row r="21" spans="2:46" x14ac:dyDescent="0.3">
      <c r="B21" t="s">
        <v>33</v>
      </c>
      <c r="C21" s="22">
        <f>'Seventh Iteration'!AK57</f>
        <v>-0.28337097738939077</v>
      </c>
      <c r="D21" s="22">
        <f>'Seventh Iteration'!AL57</f>
        <v>-0.13731615432865757</v>
      </c>
      <c r="E21" s="22">
        <f>'Seventh Iteration'!AM57</f>
        <v>-0.36444693155705277</v>
      </c>
      <c r="F21" s="22">
        <f>'Seventh Iteration'!AN57</f>
        <v>0.89741121060249962</v>
      </c>
      <c r="L21" s="18" t="s">
        <v>43</v>
      </c>
      <c r="M21" s="18">
        <v>-0.56647549922789453</v>
      </c>
      <c r="N21" s="18">
        <v>-1.0030588103971891</v>
      </c>
      <c r="O21" s="18">
        <v>-0.42555198255788829</v>
      </c>
      <c r="P21" s="18">
        <v>1.2224493528210845</v>
      </c>
      <c r="Q21" s="18"/>
      <c r="R21" s="23">
        <f>EXP(R14)</f>
        <v>2.6206858745334438</v>
      </c>
      <c r="S21" s="23">
        <f t="shared" ref="S21:W21" si="11">EXP(S14)</f>
        <v>0.35176445349674956</v>
      </c>
      <c r="T21" s="23">
        <f t="shared" si="11"/>
        <v>2.57707130164497</v>
      </c>
      <c r="U21" s="23">
        <f t="shared" si="11"/>
        <v>0.5904907511276859</v>
      </c>
      <c r="V21" s="23">
        <f t="shared" si="11"/>
        <v>2.4704443282559745</v>
      </c>
      <c r="W21" s="23">
        <f t="shared" si="11"/>
        <v>0.23352013885443471</v>
      </c>
      <c r="X21" s="18"/>
      <c r="Z21" s="1" t="s">
        <v>81</v>
      </c>
    </row>
    <row r="22" spans="2:46" x14ac:dyDescent="0.3">
      <c r="B22" t="s">
        <v>70</v>
      </c>
      <c r="C22" s="22">
        <f>'Seventh Iteration'!AK58</f>
        <v>-1.5635191429359284E-2</v>
      </c>
      <c r="D22" s="22">
        <f>'Seventh Iteration'!AL58</f>
        <v>-0.53302595851635048</v>
      </c>
      <c r="E22" s="22">
        <f>'Seventh Iteration'!AM58</f>
        <v>0.44273426083731376</v>
      </c>
      <c r="F22" s="22">
        <f>'Seventh Iteration'!AN58</f>
        <v>-0.59627793685011166</v>
      </c>
      <c r="L22" s="18" t="s">
        <v>49</v>
      </c>
      <c r="M22" s="18">
        <v>-0.88974125848598984</v>
      </c>
      <c r="N22" s="18">
        <v>-2.7491154975128005</v>
      </c>
      <c r="O22" s="18">
        <v>-0.34630699737813264</v>
      </c>
      <c r="P22" s="18">
        <v>-0.23207181130533783</v>
      </c>
      <c r="Q22" s="18"/>
      <c r="R22" s="23">
        <f t="shared" ref="R22:W26" si="12">EXP(R15)</f>
        <v>1.1455675624434412</v>
      </c>
      <c r="S22" s="23">
        <f t="shared" si="12"/>
        <v>1.2374015072923599</v>
      </c>
      <c r="T22" s="23">
        <f t="shared" si="12"/>
        <v>1.1225271399689292</v>
      </c>
      <c r="U22" s="23">
        <f t="shared" si="12"/>
        <v>1.208665422681672</v>
      </c>
      <c r="V22" s="23">
        <f t="shared" si="12"/>
        <v>1.2154739134298345</v>
      </c>
      <c r="W22" s="23">
        <f t="shared" si="12"/>
        <v>1.0727881741779559</v>
      </c>
      <c r="X22" s="18"/>
      <c r="Z22" s="26">
        <f t="shared" ref="Z22:AE27" si="13">R29*AO15/SQRT(4)</f>
        <v>-2.9834718296407416E-3</v>
      </c>
      <c r="AA22" s="26">
        <f t="shared" si="13"/>
        <v>6.5800160676400448E-3</v>
      </c>
      <c r="AB22" s="26">
        <f t="shared" si="13"/>
        <v>-5.6186281483440676E-3</v>
      </c>
      <c r="AC22" s="26">
        <f t="shared" si="13"/>
        <v>1.1765445957729617E-2</v>
      </c>
      <c r="AD22" s="26">
        <f t="shared" si="13"/>
        <v>-1.6363948553900567E-2</v>
      </c>
      <c r="AE22" s="26">
        <f t="shared" si="13"/>
        <v>6.6205865065157255E-3</v>
      </c>
    </row>
    <row r="23" spans="2:46" x14ac:dyDescent="0.3">
      <c r="B23" t="s">
        <v>43</v>
      </c>
      <c r="C23" s="22">
        <f>'Seventh Iteration'!AK59</f>
        <v>0.1014384798394455</v>
      </c>
      <c r="D23" s="22">
        <f>'Seventh Iteration'!AL59</f>
        <v>-0.98125024099095393</v>
      </c>
      <c r="E23" s="22">
        <f>'Seventh Iteration'!AM59</f>
        <v>-0.65242797593381285</v>
      </c>
      <c r="F23" s="22">
        <f>'Seventh Iteration'!AN59</f>
        <v>0.10411314675195173</v>
      </c>
      <c r="L23" s="18" t="s">
        <v>53</v>
      </c>
      <c r="M23" s="18">
        <v>-1.1186875570350887</v>
      </c>
      <c r="N23" s="18">
        <v>-1.3766656481282669</v>
      </c>
      <c r="O23" s="18">
        <v>-1.2107818581710412</v>
      </c>
      <c r="P23" s="18">
        <v>3.0246008495854722</v>
      </c>
      <c r="Q23" s="18"/>
      <c r="R23" s="23">
        <f t="shared" si="12"/>
        <v>2.1828528551041555</v>
      </c>
      <c r="S23" s="23">
        <f t="shared" si="12"/>
        <v>0.37069341342711493</v>
      </c>
      <c r="T23" s="23">
        <f t="shared" si="12"/>
        <v>2.1544457011283531</v>
      </c>
      <c r="U23" s="23">
        <f t="shared" si="12"/>
        <v>0.59759752311372083</v>
      </c>
      <c r="V23" s="23">
        <f t="shared" si="12"/>
        <v>2.0841587824472976</v>
      </c>
      <c r="W23" s="23">
        <f t="shared" si="12"/>
        <v>0.25033191128284032</v>
      </c>
      <c r="X23" s="18"/>
      <c r="Z23" s="26">
        <f t="shared" si="13"/>
        <v>1.6770867489530331E-2</v>
      </c>
      <c r="AA23" s="26">
        <f t="shared" si="13"/>
        <v>-1.5987830094645175E-2</v>
      </c>
      <c r="AB23" s="26">
        <f t="shared" si="13"/>
        <v>1.8057740791862564E-2</v>
      </c>
      <c r="AC23" s="26">
        <f t="shared" si="13"/>
        <v>-1.7662998091470802E-2</v>
      </c>
      <c r="AD23" s="26">
        <f t="shared" si="13"/>
        <v>2.7054238356332028E-2</v>
      </c>
      <c r="AE23" s="26">
        <f t="shared" si="13"/>
        <v>-2.8232018451608946E-2</v>
      </c>
    </row>
    <row r="24" spans="2:46" x14ac:dyDescent="0.3">
      <c r="B24" t="s">
        <v>49</v>
      </c>
      <c r="C24" s="22">
        <f>'Seventh Iteration'!AK60</f>
        <v>0.36478999928532035</v>
      </c>
      <c r="D24" s="22">
        <f>'Seventh Iteration'!AL60</f>
        <v>8.3598890741824819E-2</v>
      </c>
      <c r="E24" s="22">
        <f>'Seventh Iteration'!AM60</f>
        <v>-4.2093239581343138E-2</v>
      </c>
      <c r="F24" s="22">
        <f>'Seventh Iteration'!AN60</f>
        <v>-0.14347990842505587</v>
      </c>
      <c r="L24" s="18"/>
      <c r="M24" s="18"/>
      <c r="N24" s="18"/>
      <c r="O24" s="18"/>
      <c r="P24" s="18"/>
      <c r="Q24" s="18"/>
      <c r="R24" s="23">
        <f t="shared" si="12"/>
        <v>1.2566721135908456</v>
      </c>
      <c r="S24" s="23">
        <f t="shared" si="12"/>
        <v>1.1428489690147179</v>
      </c>
      <c r="T24" s="23">
        <f t="shared" si="12"/>
        <v>1.2402523349498369</v>
      </c>
      <c r="U24" s="23">
        <f t="shared" si="12"/>
        <v>1.1416703487229065</v>
      </c>
      <c r="V24" s="23">
        <f t="shared" si="12"/>
        <v>1.2951187055842113</v>
      </c>
      <c r="W24" s="23">
        <f t="shared" si="12"/>
        <v>1.046668589395646</v>
      </c>
      <c r="X24" s="18"/>
      <c r="Z24" s="26">
        <f t="shared" si="13"/>
        <v>-4.5825994832712005E-3</v>
      </c>
      <c r="AA24" s="26">
        <f t="shared" si="13"/>
        <v>7.8663825574585653E-3</v>
      </c>
      <c r="AB24" s="26">
        <f t="shared" si="13"/>
        <v>-7.1606268180480015E-3</v>
      </c>
      <c r="AC24" s="26">
        <f t="shared" si="13"/>
        <v>1.3537604032110124E-2</v>
      </c>
      <c r="AD24" s="26">
        <f t="shared" si="13"/>
        <v>-1.7810498677594266E-2</v>
      </c>
      <c r="AE24" s="26">
        <f t="shared" si="13"/>
        <v>8.1497383893447892E-3</v>
      </c>
    </row>
    <row r="25" spans="2:46" x14ac:dyDescent="0.3">
      <c r="B25" t="s">
        <v>53</v>
      </c>
      <c r="C25" s="22">
        <f>'Seventh Iteration'!AK61</f>
        <v>-0.74370429071467981</v>
      </c>
      <c r="D25" s="22">
        <f>'Seventh Iteration'!AL61</f>
        <v>-0.36200734925817524</v>
      </c>
      <c r="E25" s="22">
        <f>'Seventh Iteration'!AM61</f>
        <v>-0.21458848958134316</v>
      </c>
      <c r="F25" s="22">
        <f>'Seventh Iteration'!AN61</f>
        <v>0.53563305157494423</v>
      </c>
      <c r="L25" s="19" t="s">
        <v>4</v>
      </c>
      <c r="M25" s="20"/>
      <c r="N25" s="18"/>
      <c r="O25" s="18"/>
      <c r="P25" s="18"/>
      <c r="Q25" s="18"/>
      <c r="R25" s="23">
        <f t="shared" si="12"/>
        <v>1.8802656521684682</v>
      </c>
      <c r="S25" s="23">
        <f t="shared" si="12"/>
        <v>0.34279690081339981</v>
      </c>
      <c r="T25" s="23">
        <f t="shared" si="12"/>
        <v>1.8651791300879192</v>
      </c>
      <c r="U25" s="23">
        <f t="shared" si="12"/>
        <v>0.56020816925176997</v>
      </c>
      <c r="V25" s="23">
        <f t="shared" si="12"/>
        <v>1.8189672393567953</v>
      </c>
      <c r="W25" s="23">
        <f t="shared" si="12"/>
        <v>0.22338217641879105</v>
      </c>
      <c r="X25" s="18"/>
      <c r="Z25" s="26">
        <f t="shared" si="13"/>
        <v>1.6965015709313885E-2</v>
      </c>
      <c r="AA25" s="26">
        <f t="shared" si="13"/>
        <v>-1.6089104842537102E-2</v>
      </c>
      <c r="AB25" s="26">
        <f t="shared" si="13"/>
        <v>1.8539021256724946E-2</v>
      </c>
      <c r="AC25" s="26">
        <f t="shared" si="13"/>
        <v>-1.8006776242429301E-2</v>
      </c>
      <c r="AD25" s="26">
        <f t="shared" si="13"/>
        <v>2.7357117725270292E-2</v>
      </c>
      <c r="AE25" s="26">
        <f t="shared" si="13"/>
        <v>-2.8765273606342713E-2</v>
      </c>
    </row>
    <row r="26" spans="2:46" x14ac:dyDescent="0.3">
      <c r="B26" t="s">
        <v>86</v>
      </c>
      <c r="C26" t="s">
        <v>77</v>
      </c>
      <c r="D26" t="s">
        <v>78</v>
      </c>
      <c r="E26" t="s">
        <v>79</v>
      </c>
      <c r="F26" t="s">
        <v>80</v>
      </c>
      <c r="L26" s="18"/>
      <c r="M26" s="21" t="s">
        <v>77</v>
      </c>
      <c r="N26" s="21" t="s">
        <v>78</v>
      </c>
      <c r="O26" s="21" t="s">
        <v>79</v>
      </c>
      <c r="P26" s="21" t="s">
        <v>80</v>
      </c>
      <c r="Q26" s="18"/>
      <c r="R26" s="23">
        <f t="shared" si="12"/>
        <v>1.6742083184225056</v>
      </c>
      <c r="S26" s="23">
        <f t="shared" si="12"/>
        <v>1.5410943742948549</v>
      </c>
      <c r="T26" s="23">
        <f t="shared" si="12"/>
        <v>1.6059468709078641</v>
      </c>
      <c r="U26" s="23">
        <f t="shared" si="12"/>
        <v>1.4693986060920072</v>
      </c>
      <c r="V26" s="23">
        <f t="shared" si="12"/>
        <v>1.7586717370145071</v>
      </c>
      <c r="W26" s="23">
        <f t="shared" si="12"/>
        <v>1.3547796533614258</v>
      </c>
      <c r="X26" s="18"/>
      <c r="Z26" s="26">
        <f t="shared" si="13"/>
        <v>-5.0264586232439739E-3</v>
      </c>
      <c r="AA26" s="26">
        <f t="shared" si="13"/>
        <v>8.2533996973703488E-3</v>
      </c>
      <c r="AB26" s="26">
        <f t="shared" si="13"/>
        <v>-7.6054978885536093E-3</v>
      </c>
      <c r="AC26" s="26">
        <f t="shared" si="13"/>
        <v>1.4408561113859865E-2</v>
      </c>
      <c r="AD26" s="26">
        <f t="shared" si="13"/>
        <v>-1.8312739196204394E-2</v>
      </c>
      <c r="AE26" s="26">
        <f t="shared" si="13"/>
        <v>8.2827348967717679E-3</v>
      </c>
    </row>
    <row r="27" spans="2:46" x14ac:dyDescent="0.3">
      <c r="B27" t="s">
        <v>69</v>
      </c>
      <c r="C27" s="22">
        <f>'Seventh Iteration'!AK38</f>
        <v>0.19175643527830649</v>
      </c>
      <c r="D27" s="22">
        <f>'Seventh Iteration'!AL38</f>
        <v>-0.86157278472169352</v>
      </c>
      <c r="E27" s="22">
        <f>'Seventh Iteration'!AM38</f>
        <v>0.18198927527830649</v>
      </c>
      <c r="F27" s="22">
        <f>'Seventh Iteration'!AN38</f>
        <v>-0.17259384472169351</v>
      </c>
      <c r="L27" s="18" t="s">
        <v>69</v>
      </c>
      <c r="M27" s="18">
        <f t="array" ref="M27:P32">MMULT(C4:H9,C27:F32)</f>
        <v>-1.3830593291409767</v>
      </c>
      <c r="N27" s="18">
        <v>-0.91464991205037682</v>
      </c>
      <c r="O27" s="18">
        <v>0.46243750216582341</v>
      </c>
      <c r="P27" s="18">
        <v>2.1618563508034234</v>
      </c>
      <c r="Q27" s="18"/>
      <c r="R27" s="18"/>
      <c r="S27" s="18"/>
      <c r="T27" s="18"/>
      <c r="U27" s="18"/>
      <c r="V27" s="18"/>
      <c r="W27" s="18"/>
      <c r="X27" s="18"/>
      <c r="Z27" s="26">
        <f t="shared" si="13"/>
        <v>1.6942667981636156E-2</v>
      </c>
      <c r="AA27" s="26">
        <f t="shared" si="13"/>
        <v>-1.6683340138573175E-2</v>
      </c>
      <c r="AB27" s="26">
        <f t="shared" si="13"/>
        <v>1.8017810316222255E-2</v>
      </c>
      <c r="AC27" s="26">
        <f t="shared" si="13"/>
        <v>-1.7797968682492633E-2</v>
      </c>
      <c r="AD27" s="26">
        <f t="shared" si="13"/>
        <v>2.7979918780706013E-2</v>
      </c>
      <c r="AE27" s="26">
        <f t="shared" si="13"/>
        <v>-2.8459088257498627E-2</v>
      </c>
    </row>
    <row r="28" spans="2:46" x14ac:dyDescent="0.3">
      <c r="B28" t="s">
        <v>33</v>
      </c>
      <c r="C28" s="22">
        <f>'Seventh Iteration'!AK39</f>
        <v>-0.60172325521877701</v>
      </c>
      <c r="D28" s="22">
        <f>'Seventh Iteration'!AL39</f>
        <v>4.2575884781223067E-2</v>
      </c>
      <c r="E28" s="22">
        <f>'Seventh Iteration'!AM39</f>
        <v>0.25223750478122309</v>
      </c>
      <c r="F28" s="22">
        <f>'Seventh Iteration'!AN39</f>
        <v>0.20237780478122308</v>
      </c>
      <c r="L28" s="18" t="s">
        <v>33</v>
      </c>
      <c r="M28" s="18">
        <v>-2.2733432726075522</v>
      </c>
      <c r="N28" s="18">
        <v>-6.6340684510572207E-2</v>
      </c>
      <c r="O28" s="18">
        <v>0.84236977234888788</v>
      </c>
      <c r="P28" s="18">
        <v>1.0085618310609679</v>
      </c>
      <c r="Q28" s="18"/>
      <c r="R28" s="19" t="s">
        <v>6</v>
      </c>
      <c r="S28" s="18"/>
      <c r="T28" s="18"/>
      <c r="U28" s="18"/>
      <c r="V28" s="18"/>
      <c r="W28" s="18"/>
      <c r="X28" s="18"/>
    </row>
    <row r="29" spans="2:46" x14ac:dyDescent="0.3">
      <c r="B29" t="s">
        <v>70</v>
      </c>
      <c r="C29" s="22">
        <f>'Seventh Iteration'!AK40</f>
        <v>-0.44541324818725475</v>
      </c>
      <c r="D29" s="22">
        <f>'Seventh Iteration'!AL40</f>
        <v>-0.18041067818725476</v>
      </c>
      <c r="E29" s="22">
        <f>'Seventh Iteration'!AM40</f>
        <v>0.13982723181274528</v>
      </c>
      <c r="F29" s="22">
        <f>'Seventh Iteration'!AN40</f>
        <v>0.4619680718127453</v>
      </c>
      <c r="L29" s="18" t="s">
        <v>70</v>
      </c>
      <c r="M29" s="18">
        <v>-1.3288469881062268</v>
      </c>
      <c r="N29" s="18">
        <v>-1.0423082811062272</v>
      </c>
      <c r="O29" s="18">
        <v>0.54645753889377324</v>
      </c>
      <c r="P29" s="18">
        <v>2.1940869908937732</v>
      </c>
      <c r="Q29" s="18"/>
      <c r="R29" s="24">
        <f t="shared" ref="R29:W34" si="14">R21/SUM($R21:$W21)</f>
        <v>0.29632437076673218</v>
      </c>
      <c r="S29" s="24">
        <f t="shared" si="14"/>
        <v>3.9774465666963903E-2</v>
      </c>
      <c r="T29" s="24">
        <f t="shared" si="14"/>
        <v>0.29139281411088624</v>
      </c>
      <c r="U29" s="24">
        <f t="shared" si="14"/>
        <v>6.6767559581186881E-2</v>
      </c>
      <c r="V29" s="24">
        <f t="shared" si="14"/>
        <v>0.2793363631247946</v>
      </c>
      <c r="W29" s="24">
        <f t="shared" si="14"/>
        <v>2.6404426749436133E-2</v>
      </c>
      <c r="X29" s="18"/>
      <c r="Z29" s="1" t="s">
        <v>14</v>
      </c>
      <c r="AG29" s="1" t="s">
        <v>12</v>
      </c>
    </row>
    <row r="30" spans="2:46" x14ac:dyDescent="0.3">
      <c r="B30" t="s">
        <v>43</v>
      </c>
      <c r="C30" s="22">
        <f>'Seventh Iteration'!AK41</f>
        <v>-0.23774842063024162</v>
      </c>
      <c r="D30" s="22">
        <f>'Seventh Iteration'!AL41</f>
        <v>-9.0990790630241666E-2</v>
      </c>
      <c r="E30" s="22">
        <f>'Seventh Iteration'!AM41</f>
        <v>-0.55132879063024154</v>
      </c>
      <c r="F30" s="22">
        <f>'Seventh Iteration'!AN41</f>
        <v>-0.59626461063024161</v>
      </c>
      <c r="L30" s="18" t="s">
        <v>43</v>
      </c>
      <c r="M30" s="18">
        <v>-1.6933656928536847</v>
      </c>
      <c r="N30" s="18">
        <v>-0.12713281156274439</v>
      </c>
      <c r="O30" s="18">
        <v>0.53692519901563562</v>
      </c>
      <c r="P30" s="18">
        <v>0.74473117715187565</v>
      </c>
      <c r="Q30" s="18"/>
      <c r="R30" s="24">
        <f t="shared" si="14"/>
        <v>0.16359586455365074</v>
      </c>
      <c r="S30" s="24">
        <f t="shared" si="14"/>
        <v>0.17671045866007465</v>
      </c>
      <c r="T30" s="24">
        <f t="shared" si="14"/>
        <v>0.16030551489818445</v>
      </c>
      <c r="U30" s="24">
        <f t="shared" si="14"/>
        <v>0.17260672461601259</v>
      </c>
      <c r="V30" s="24">
        <f t="shared" si="14"/>
        <v>0.17357902949506782</v>
      </c>
      <c r="W30" s="24">
        <f t="shared" si="14"/>
        <v>0.15320240777700977</v>
      </c>
      <c r="X30" s="18"/>
      <c r="Z30" s="28">
        <f t="array" ref="Z30:AC35">MMULT(TRANSPOSE(Z22:AE27),M9:P14)</f>
        <v>-2.3139959381788318E-2</v>
      </c>
      <c r="AA30" s="28">
        <v>-1.639666095765778E-2</v>
      </c>
      <c r="AB30" s="28">
        <v>0.11199638797152855</v>
      </c>
      <c r="AC30" s="28">
        <v>4.5552348592918138E-2</v>
      </c>
      <c r="AG30" s="28">
        <f t="array" ref="AG30:AJ35">MMULT(TRANSPOSE(R29:W34),Z15:AC20)</f>
        <v>-0.12733601061787098</v>
      </c>
      <c r="AH30" s="28">
        <v>-0.12733601061787098</v>
      </c>
      <c r="AI30" s="28">
        <v>-0.12733601061787098</v>
      </c>
      <c r="AJ30" s="28">
        <v>-0.12733601061787098</v>
      </c>
    </row>
    <row r="31" spans="2:46" x14ac:dyDescent="0.3">
      <c r="B31" t="s">
        <v>49</v>
      </c>
      <c r="C31" s="22">
        <f>'Seventh Iteration'!AK42</f>
        <v>0.42838902748161256</v>
      </c>
      <c r="D31" s="22">
        <f>'Seventh Iteration'!AL42</f>
        <v>0.70024612748161252</v>
      </c>
      <c r="E31" s="22">
        <f>'Seventh Iteration'!AM42</f>
        <v>-1.3878942518387442E-2</v>
      </c>
      <c r="F31" s="22">
        <f>'Seventh Iteration'!AN42</f>
        <v>0.5238925674816125</v>
      </c>
      <c r="L31" s="18" t="s">
        <v>49</v>
      </c>
      <c r="M31" s="18">
        <v>-1.3152179790337779</v>
      </c>
      <c r="N31" s="18">
        <v>-0.98762338600357813</v>
      </c>
      <c r="O31" s="18">
        <v>0.59196136540182209</v>
      </c>
      <c r="P31" s="18">
        <v>2.2628453922810223</v>
      </c>
      <c r="Q31" s="18"/>
      <c r="R31" s="24">
        <f t="shared" si="14"/>
        <v>0.28571072578011097</v>
      </c>
      <c r="S31" s="24">
        <f t="shared" si="14"/>
        <v>4.851957104873849E-2</v>
      </c>
      <c r="T31" s="24">
        <f t="shared" si="14"/>
        <v>0.2819925509334667</v>
      </c>
      <c r="U31" s="24">
        <f t="shared" si="14"/>
        <v>7.8218750134246187E-2</v>
      </c>
      <c r="V31" s="24">
        <f t="shared" si="14"/>
        <v>0.27279278902452492</v>
      </c>
      <c r="W31" s="24">
        <f t="shared" si="14"/>
        <v>3.2765613078912709E-2</v>
      </c>
      <c r="X31" s="18"/>
      <c r="Z31" s="28">
        <v>1.9843546424675722E-2</v>
      </c>
      <c r="AA31" s="28">
        <v>1.3278699129958819E-2</v>
      </c>
      <c r="AB31" s="28">
        <v>-0.11634029545232216</v>
      </c>
      <c r="AC31" s="28">
        <v>-5.9479411519114012E-2</v>
      </c>
      <c r="AG31" s="28">
        <v>0.17932388019481776</v>
      </c>
      <c r="AH31" s="28">
        <v>0.17932388019481776</v>
      </c>
      <c r="AI31" s="28">
        <v>0.17932388019481776</v>
      </c>
      <c r="AJ31" s="28">
        <v>0.17932388019481776</v>
      </c>
    </row>
    <row r="32" spans="2:46" x14ac:dyDescent="0.3">
      <c r="B32" t="s">
        <v>53</v>
      </c>
      <c r="C32" s="22">
        <f>'Seventh Iteration'!AK43</f>
        <v>0.20294412748161256</v>
      </c>
      <c r="D32" s="22">
        <f>'Seventh Iteration'!AL43</f>
        <v>-0.30043376251838744</v>
      </c>
      <c r="E32" s="22">
        <f>'Seventh Iteration'!AM43</f>
        <v>0.20282391748161255</v>
      </c>
      <c r="F32" s="22">
        <f>'Seventh Iteration'!AN43</f>
        <v>0.79114439748161258</v>
      </c>
      <c r="L32" s="18" t="s">
        <v>53</v>
      </c>
      <c r="M32" s="18">
        <v>-2.9236307952514351</v>
      </c>
      <c r="N32" s="18">
        <v>-3.7404376251434987E-2</v>
      </c>
      <c r="O32" s="18">
        <v>0.98337861374856528</v>
      </c>
      <c r="P32" s="18">
        <v>1.0925999077485651</v>
      </c>
      <c r="Q32" s="18"/>
      <c r="R32" s="24">
        <f t="shared" si="14"/>
        <v>0.17641883336139905</v>
      </c>
      <c r="S32" s="24">
        <f t="shared" si="14"/>
        <v>0.1604396879992348</v>
      </c>
      <c r="T32" s="24">
        <f t="shared" si="14"/>
        <v>0.17411373073313915</v>
      </c>
      <c r="U32" s="24">
        <f t="shared" si="14"/>
        <v>0.16027422652793399</v>
      </c>
      <c r="V32" s="24">
        <f t="shared" si="14"/>
        <v>0.18181618628491558</v>
      </c>
      <c r="W32" s="24">
        <f t="shared" si="14"/>
        <v>0.14693733509337753</v>
      </c>
      <c r="X32" s="18"/>
      <c r="Z32" s="28">
        <v>-2.3291848425836145E-2</v>
      </c>
      <c r="AA32" s="28">
        <v>-1.5871931646311958E-2</v>
      </c>
      <c r="AB32" s="28">
        <v>0.1255536795522125</v>
      </c>
      <c r="AC32" s="28">
        <v>5.8936785811795511E-2</v>
      </c>
      <c r="AG32" s="28">
        <v>-0.12877364103676764</v>
      </c>
      <c r="AH32" s="28">
        <v>-0.12877364103676764</v>
      </c>
      <c r="AI32" s="28">
        <v>-0.12877364103676764</v>
      </c>
      <c r="AJ32" s="28">
        <v>-0.12877364103676764</v>
      </c>
    </row>
    <row r="33" spans="12:40" x14ac:dyDescent="0.3">
      <c r="L33" s="18"/>
      <c r="M33" s="18"/>
      <c r="N33" s="18"/>
      <c r="O33" s="18"/>
      <c r="P33" s="18"/>
      <c r="Q33" s="18"/>
      <c r="R33" s="24">
        <f t="shared" si="14"/>
        <v>0.28102257694889921</v>
      </c>
      <c r="S33" s="24">
        <f t="shared" si="14"/>
        <v>5.1234073401052856E-2</v>
      </c>
      <c r="T33" s="24">
        <f t="shared" si="14"/>
        <v>0.27876776082364435</v>
      </c>
      <c r="U33" s="24">
        <f t="shared" si="14"/>
        <v>8.3728138717736864E-2</v>
      </c>
      <c r="V33" s="24">
        <f t="shared" si="14"/>
        <v>0.27186097900589201</v>
      </c>
      <c r="W33" s="24">
        <f t="shared" si="14"/>
        <v>3.3386471102774644E-2</v>
      </c>
      <c r="X33" s="18"/>
      <c r="Z33" s="28">
        <v>1.8209152694568929E-2</v>
      </c>
      <c r="AA33" s="28">
        <v>1.0786506823551052E-2</v>
      </c>
      <c r="AB33" s="28">
        <v>-0.13819486058249372</v>
      </c>
      <c r="AC33" s="28">
        <v>-8.6607755690747371E-2</v>
      </c>
      <c r="AG33" s="28">
        <v>0.13475172636781033</v>
      </c>
      <c r="AH33" s="28">
        <v>0.13475172636781033</v>
      </c>
      <c r="AI33" s="28">
        <v>0.13475172636781033</v>
      </c>
      <c r="AJ33" s="28">
        <v>0.13475172636781033</v>
      </c>
    </row>
    <row r="34" spans="12:40" x14ac:dyDescent="0.3">
      <c r="L34" s="18"/>
      <c r="M34" s="18"/>
      <c r="N34" s="18"/>
      <c r="O34" s="18"/>
      <c r="P34" s="18"/>
      <c r="Q34" s="18"/>
      <c r="R34" s="24">
        <f t="shared" si="14"/>
        <v>0.17802962502939723</v>
      </c>
      <c r="S34" s="24">
        <f t="shared" si="14"/>
        <v>0.16387474042007988</v>
      </c>
      <c r="T34" s="24">
        <f t="shared" si="14"/>
        <v>0.17077093459567269</v>
      </c>
      <c r="U34" s="24">
        <f t="shared" si="14"/>
        <v>0.1562508559913045</v>
      </c>
      <c r="V34" s="24">
        <f t="shared" si="14"/>
        <v>0.18701117802681835</v>
      </c>
      <c r="W34" s="24">
        <f t="shared" si="14"/>
        <v>0.14406266593672731</v>
      </c>
      <c r="X34" s="18"/>
      <c r="Z34" s="28">
        <v>-3.0180901511822837E-2</v>
      </c>
      <c r="AA34" s="28">
        <v>-1.8786960338821573E-2</v>
      </c>
      <c r="AB34" s="28">
        <v>0.20721038989872684</v>
      </c>
      <c r="AC34" s="28">
        <v>0.12113408647356444</v>
      </c>
      <c r="AG34" s="28">
        <v>-9.868835732729532E-2</v>
      </c>
      <c r="AH34" s="28">
        <v>-9.868835732729532E-2</v>
      </c>
      <c r="AI34" s="28">
        <v>-9.868835732729532E-2</v>
      </c>
      <c r="AJ34" s="28">
        <v>-9.868835732729532E-2</v>
      </c>
    </row>
    <row r="35" spans="12:40" x14ac:dyDescent="0.3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28">
        <v>3.8560010200202652E-2</v>
      </c>
      <c r="AA35" s="28">
        <v>2.6990346989281433E-2</v>
      </c>
      <c r="AB35" s="28">
        <v>-0.19022530138765203</v>
      </c>
      <c r="AC35" s="28">
        <v>-7.9536053668416762E-2</v>
      </c>
      <c r="AG35" s="28">
        <v>0.17259276332794515</v>
      </c>
      <c r="AH35" s="28">
        <v>0.17259276332794515</v>
      </c>
      <c r="AI35" s="28">
        <v>0.17259276332794515</v>
      </c>
      <c r="AJ35" s="28">
        <v>0.17259276332794515</v>
      </c>
    </row>
    <row r="36" spans="12:40" x14ac:dyDescent="0.3"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2:40" x14ac:dyDescent="0.3">
      <c r="Z37" s="1" t="s">
        <v>13</v>
      </c>
      <c r="AF37" s="1" t="s">
        <v>16</v>
      </c>
      <c r="AK37" s="1" t="s">
        <v>19</v>
      </c>
    </row>
    <row r="38" spans="12:40" x14ac:dyDescent="0.3">
      <c r="Z38" s="28">
        <f t="array" ref="Z38:AC43">MMULT(Z22:AE27,M18:P23)</f>
        <v>2.3799941416377205E-3</v>
      </c>
      <c r="AA38" s="28">
        <v>4.1994855662474941E-2</v>
      </c>
      <c r="AB38" s="28">
        <v>-8.3612794027558869E-3</v>
      </c>
      <c r="AC38" s="28">
        <v>5.3950856240196188E-2</v>
      </c>
      <c r="AF38">
        <f t="array" ref="AF38:AI43">MMULT(TRANSPOSE(C4:H9),AG30:AJ35)</f>
        <v>-0.32627664622762503</v>
      </c>
      <c r="AG38">
        <v>-0.32627664622762503</v>
      </c>
      <c r="AH38">
        <v>-0.32627664622762503</v>
      </c>
      <c r="AI38">
        <v>-0.32627664622762503</v>
      </c>
      <c r="AK38" s="22">
        <f t="shared" ref="AK38:AN43" si="15">C27-0.02*AF38</f>
        <v>0.19828196820285898</v>
      </c>
      <c r="AL38" s="22">
        <f t="shared" si="15"/>
        <v>-0.85504725179714103</v>
      </c>
      <c r="AM38" s="22">
        <f t="shared" si="15"/>
        <v>0.18851480820285899</v>
      </c>
      <c r="AN38" s="22">
        <f t="shared" si="15"/>
        <v>-0.16606831179714102</v>
      </c>
    </row>
    <row r="39" spans="12:40" x14ac:dyDescent="0.3">
      <c r="Z39" s="28">
        <v>9.811675845143239E-4</v>
      </c>
      <c r="AA39" s="28">
        <v>-0.10197469299810633</v>
      </c>
      <c r="AB39" s="28">
        <v>2.8854435556438261E-2</v>
      </c>
      <c r="AC39" s="28">
        <v>-0.15465850205591417</v>
      </c>
      <c r="AF39">
        <v>1.1430481376499206</v>
      </c>
      <c r="AG39">
        <v>1.1430481376499206</v>
      </c>
      <c r="AH39">
        <v>1.1430481376499206</v>
      </c>
      <c r="AI39">
        <v>1.1430481376499206</v>
      </c>
      <c r="AK39" s="22">
        <f t="shared" si="15"/>
        <v>-0.62458421797177543</v>
      </c>
      <c r="AL39" s="22">
        <f t="shared" si="15"/>
        <v>1.9714922028224655E-2</v>
      </c>
      <c r="AM39" s="22">
        <f t="shared" si="15"/>
        <v>0.22937654202822466</v>
      </c>
      <c r="AN39" s="22">
        <f t="shared" si="15"/>
        <v>0.17951684202822465</v>
      </c>
    </row>
    <row r="40" spans="12:40" x14ac:dyDescent="0.3">
      <c r="Z40" s="28">
        <v>2.5725113273593041E-3</v>
      </c>
      <c r="AA40" s="28">
        <v>4.9852582058565131E-2</v>
      </c>
      <c r="AB40" s="28">
        <v>-1.004271905153103E-2</v>
      </c>
      <c r="AC40" s="28">
        <v>6.4485520085021064E-2</v>
      </c>
      <c r="AF40">
        <v>-0.57772565705522849</v>
      </c>
      <c r="AG40">
        <v>-0.57772565705522849</v>
      </c>
      <c r="AH40">
        <v>-0.57772565705522849</v>
      </c>
      <c r="AI40">
        <v>-0.57772565705522849</v>
      </c>
      <c r="AK40" s="22">
        <f t="shared" si="15"/>
        <v>-0.43385873504615019</v>
      </c>
      <c r="AL40" s="22">
        <f t="shared" si="15"/>
        <v>-0.1688561650461502</v>
      </c>
      <c r="AM40" s="22">
        <f t="shared" si="15"/>
        <v>0.15138174495384984</v>
      </c>
      <c r="AN40" s="22">
        <f t="shared" si="15"/>
        <v>0.47352258495384986</v>
      </c>
    </row>
    <row r="41" spans="12:40" x14ac:dyDescent="0.3">
      <c r="Z41" s="28">
        <v>9.9627493868336206E-4</v>
      </c>
      <c r="AA41" s="28">
        <v>-0.10356468407102352</v>
      </c>
      <c r="AB41" s="28">
        <v>2.9320895651690257E-2</v>
      </c>
      <c r="AC41" s="28">
        <v>-0.15712209222020976</v>
      </c>
      <c r="AF41">
        <v>-0.22552241112137075</v>
      </c>
      <c r="AG41">
        <v>-0.22552241112137075</v>
      </c>
      <c r="AH41">
        <v>-0.22552241112137075</v>
      </c>
      <c r="AI41">
        <v>-0.22552241112137075</v>
      </c>
      <c r="AK41" s="22">
        <f t="shared" si="15"/>
        <v>-0.23323797240781421</v>
      </c>
      <c r="AL41" s="22">
        <f t="shared" si="15"/>
        <v>-8.6480342407814256E-2</v>
      </c>
      <c r="AM41" s="22">
        <f t="shared" si="15"/>
        <v>-0.54681834240781413</v>
      </c>
      <c r="AN41" s="22">
        <f t="shared" si="15"/>
        <v>-0.5917541624078142</v>
      </c>
    </row>
    <row r="42" spans="12:40" x14ac:dyDescent="0.3">
      <c r="Z42" s="28">
        <v>2.8162665613637641E-3</v>
      </c>
      <c r="AA42" s="28">
        <v>5.2348234941133352E-2</v>
      </c>
      <c r="AB42" s="28">
        <v>-1.0297084372321824E-2</v>
      </c>
      <c r="AC42" s="28">
        <v>6.7081561076907548E-2</v>
      </c>
      <c r="AF42">
        <v>-0.35479800898193392</v>
      </c>
      <c r="AG42">
        <v>-0.35479800898193392</v>
      </c>
      <c r="AH42">
        <v>-0.35479800898193392</v>
      </c>
      <c r="AI42">
        <v>-0.35479800898193392</v>
      </c>
      <c r="AK42" s="22">
        <f t="shared" si="15"/>
        <v>0.43548498766125127</v>
      </c>
      <c r="AL42" s="22">
        <f t="shared" si="15"/>
        <v>0.70734208766125117</v>
      </c>
      <c r="AM42" s="22">
        <f t="shared" si="15"/>
        <v>-6.7829823387487642E-3</v>
      </c>
      <c r="AN42" s="22">
        <f t="shared" si="15"/>
        <v>0.53098852766125115</v>
      </c>
    </row>
    <row r="43" spans="12:40" x14ac:dyDescent="0.3">
      <c r="Z43" s="28">
        <v>9.7548491813191293E-4</v>
      </c>
      <c r="AA43" s="28">
        <v>-0.10373963318321987</v>
      </c>
      <c r="AB43" s="28">
        <v>2.9312087223018986E-2</v>
      </c>
      <c r="AC43" s="28">
        <v>-0.15722221277220921</v>
      </c>
      <c r="AF43">
        <v>-0.35479800898193392</v>
      </c>
      <c r="AG43">
        <v>-0.35479800898193392</v>
      </c>
      <c r="AH43">
        <v>-0.35479800898193392</v>
      </c>
      <c r="AI43">
        <v>-0.35479800898193392</v>
      </c>
      <c r="AK43" s="22">
        <f t="shared" si="15"/>
        <v>0.21004008766125123</v>
      </c>
      <c r="AL43" s="22">
        <f t="shared" si="15"/>
        <v>-0.29333780233874873</v>
      </c>
      <c r="AM43" s="22">
        <f t="shared" si="15"/>
        <v>0.20991987766125123</v>
      </c>
      <c r="AN43" s="22">
        <f t="shared" si="15"/>
        <v>0.79824035766125123</v>
      </c>
    </row>
    <row r="47" spans="12:40" x14ac:dyDescent="0.3">
      <c r="AA47" s="1"/>
      <c r="AF47" s="1" t="s">
        <v>15</v>
      </c>
      <c r="AK47" s="1" t="s">
        <v>18</v>
      </c>
    </row>
    <row r="48" spans="12:40" x14ac:dyDescent="0.3">
      <c r="AF48">
        <f t="array" ref="AF48:AI53">MMULT(TRANSPOSE(C4:H9),Z38:AC43)</f>
        <v>7.2629921262882622E-3</v>
      </c>
      <c r="AG48">
        <v>0.13257665378122108</v>
      </c>
      <c r="AH48">
        <v>-2.6210998817661355E-2</v>
      </c>
      <c r="AI48">
        <v>0.17009273549035003</v>
      </c>
      <c r="AK48" s="22">
        <f t="shared" ref="AK48:AN53" si="16">C13-0.02*AF48</f>
        <v>0.24761515022977226</v>
      </c>
      <c r="AL48" s="22">
        <f t="shared" si="16"/>
        <v>-7.140113084993184E-2</v>
      </c>
      <c r="AM48" s="22">
        <f t="shared" si="16"/>
        <v>0.32441445159603405</v>
      </c>
      <c r="AN48" s="22">
        <f t="shared" si="16"/>
        <v>0.75968403976281729</v>
      </c>
    </row>
    <row r="49" spans="27:40" x14ac:dyDescent="0.3">
      <c r="AF49">
        <v>1.6606764333798138E-2</v>
      </c>
      <c r="AG49">
        <v>-0.78381630720707207</v>
      </c>
      <c r="AH49">
        <v>0.23375236403816249</v>
      </c>
      <c r="AI49">
        <v>-1.2215906042948741</v>
      </c>
      <c r="AK49" s="22">
        <f t="shared" si="16"/>
        <v>-0.10324348975267865</v>
      </c>
      <c r="AL49" s="22">
        <f t="shared" si="16"/>
        <v>-0.13441566473267577</v>
      </c>
      <c r="AM49" s="22">
        <f t="shared" si="16"/>
        <v>0.80225281158376105</v>
      </c>
      <c r="AN49" s="22">
        <f t="shared" si="16"/>
        <v>0.30843517823824618</v>
      </c>
    </row>
    <row r="50" spans="27:40" x14ac:dyDescent="0.3">
      <c r="AF50">
        <v>2.6259243532411967E-2</v>
      </c>
      <c r="AG50">
        <v>0.12330800773417057</v>
      </c>
      <c r="AH50">
        <v>1.3841699513212798E-3</v>
      </c>
      <c r="AI50">
        <v>8.7551005158041262E-2</v>
      </c>
      <c r="AK50" s="22">
        <f t="shared" si="16"/>
        <v>-0.23240247955363155</v>
      </c>
      <c r="AL50" s="22">
        <f t="shared" si="16"/>
        <v>0.25899957066263973</v>
      </c>
      <c r="AM50" s="22">
        <f t="shared" si="16"/>
        <v>-0.22601366784507473</v>
      </c>
      <c r="AN50" s="22">
        <f t="shared" si="16"/>
        <v>-0.26261781016237318</v>
      </c>
    </row>
    <row r="51" spans="27:40" x14ac:dyDescent="0.3">
      <c r="AF51">
        <v>7.5382848069797843E-3</v>
      </c>
      <c r="AG51">
        <v>6.670847139910896E-2</v>
      </c>
      <c r="AH51">
        <v>-8.0941451941037006E-3</v>
      </c>
      <c r="AI51">
        <v>7.159614069694506E-2</v>
      </c>
      <c r="AK51" s="22">
        <f t="shared" si="16"/>
        <v>0.12120555835694148</v>
      </c>
      <c r="AL51" s="22">
        <f t="shared" si="16"/>
        <v>-0.95978553836421843</v>
      </c>
      <c r="AM51" s="22">
        <f t="shared" si="16"/>
        <v>-0.86114342514602515</v>
      </c>
      <c r="AN51" s="22">
        <f t="shared" si="16"/>
        <v>-0.28761949671506865</v>
      </c>
    </row>
    <row r="52" spans="27:40" x14ac:dyDescent="0.3">
      <c r="AF52">
        <v>7.7687720303607887E-3</v>
      </c>
      <c r="AG52">
        <v>0.14419567266217342</v>
      </c>
      <c r="AH52">
        <v>-2.8701082826608743E-2</v>
      </c>
      <c r="AI52">
        <v>0.1855179374021248</v>
      </c>
      <c r="AK52" s="22">
        <f t="shared" si="16"/>
        <v>-0.50724514630823081</v>
      </c>
      <c r="AL52" s="22">
        <f t="shared" si="16"/>
        <v>0.15474205178971104</v>
      </c>
      <c r="AM52" s="22">
        <f t="shared" si="16"/>
        <v>-0.45342760530346093</v>
      </c>
      <c r="AN52" s="22">
        <f t="shared" si="16"/>
        <v>-0.70792867536709581</v>
      </c>
    </row>
    <row r="53" spans="27:40" x14ac:dyDescent="0.3">
      <c r="AF53">
        <v>7.7687720303607887E-3</v>
      </c>
      <c r="AG53">
        <v>0.14419567266217342</v>
      </c>
      <c r="AH53">
        <v>-2.8701082826608743E-2</v>
      </c>
      <c r="AI53">
        <v>0.1855179374021248</v>
      </c>
      <c r="AK53" s="22">
        <f t="shared" si="16"/>
        <v>0.73199479369176923</v>
      </c>
      <c r="AL53" s="22">
        <f t="shared" si="16"/>
        <v>-0.11526976821028898</v>
      </c>
      <c r="AM53" s="22">
        <f t="shared" si="16"/>
        <v>3.4348534696539097E-2</v>
      </c>
      <c r="AN53" s="22">
        <f t="shared" si="16"/>
        <v>-0.71415091536709574</v>
      </c>
    </row>
    <row r="55" spans="27:40" x14ac:dyDescent="0.3">
      <c r="AA55" s="1"/>
      <c r="AF55" s="1" t="s">
        <v>17</v>
      </c>
      <c r="AK55" s="1" t="s">
        <v>20</v>
      </c>
    </row>
    <row r="56" spans="27:40" x14ac:dyDescent="0.3">
      <c r="AF56">
        <f t="array" ref="AF56:AI61">MMULT(TRANSPOSE(C4:H9),Z30:AC35)</f>
        <v>-7.0948805982931643E-2</v>
      </c>
      <c r="AG56">
        <v>-4.7217421057548406E-2</v>
      </c>
      <c r="AH56">
        <v>0.41321064550494135</v>
      </c>
      <c r="AI56">
        <v>0.21029406159838104</v>
      </c>
      <c r="AK56" s="22">
        <f t="shared" ref="AK56:AN61" si="17">C20-0.02*AF56</f>
        <v>-0.27490238642320225</v>
      </c>
      <c r="AL56" s="22">
        <f t="shared" si="17"/>
        <v>5.4463215344064446E-2</v>
      </c>
      <c r="AM56" s="22">
        <f t="shared" si="17"/>
        <v>-0.56939223498116343</v>
      </c>
      <c r="AN56" s="22">
        <f t="shared" si="17"/>
        <v>0.18997537724510202</v>
      </c>
    </row>
    <row r="57" spans="27:40" x14ac:dyDescent="0.3">
      <c r="AF57">
        <v>0.17357627614452834</v>
      </c>
      <c r="AG57">
        <v>0.11831494605131299</v>
      </c>
      <c r="AH57">
        <v>-0.94155135565009418</v>
      </c>
      <c r="AI57">
        <v>-0.44417473973422572</v>
      </c>
      <c r="AK57" s="22">
        <f t="shared" si="17"/>
        <v>-0.28684250291228131</v>
      </c>
      <c r="AL57" s="22">
        <f t="shared" si="17"/>
        <v>-0.13968245324968384</v>
      </c>
      <c r="AM57" s="22">
        <f t="shared" si="17"/>
        <v>-0.34561590444405088</v>
      </c>
      <c r="AN57" s="22">
        <f t="shared" si="17"/>
        <v>0.90629470539718415</v>
      </c>
    </row>
    <row r="58" spans="27:40" x14ac:dyDescent="0.3">
      <c r="AF58">
        <v>-0.15322541863889461</v>
      </c>
      <c r="AG58">
        <v>-0.10211110588558264</v>
      </c>
      <c r="AH58">
        <v>0.88952091484493567</v>
      </c>
      <c r="AI58">
        <v>0.45124644175655615</v>
      </c>
      <c r="AK58" s="22">
        <f t="shared" si="17"/>
        <v>-1.2570683056581392E-2</v>
      </c>
      <c r="AL58" s="22">
        <f t="shared" si="17"/>
        <v>-0.53098373639863883</v>
      </c>
      <c r="AM58" s="22">
        <f t="shared" si="17"/>
        <v>0.42494384254041506</v>
      </c>
      <c r="AN58" s="22">
        <f t="shared" si="17"/>
        <v>-0.60530286568524283</v>
      </c>
    </row>
    <row r="59" spans="27:40" x14ac:dyDescent="0.3">
      <c r="AF59">
        <v>-5.1053155933056968E-2</v>
      </c>
      <c r="AG59">
        <v>-3.4128692335905285E-2</v>
      </c>
      <c r="AH59">
        <v>0.29442241940947472</v>
      </c>
      <c r="AI59">
        <v>0.14837241661179976</v>
      </c>
      <c r="AK59" s="22">
        <f t="shared" si="17"/>
        <v>0.10245954295810664</v>
      </c>
      <c r="AL59" s="22">
        <f t="shared" si="17"/>
        <v>-0.98056766714423582</v>
      </c>
      <c r="AM59" s="22">
        <f t="shared" si="17"/>
        <v>-0.65831642432200232</v>
      </c>
      <c r="AN59" s="22">
        <f t="shared" si="17"/>
        <v>0.10114569841971573</v>
      </c>
    </row>
    <row r="60" spans="27:40" x14ac:dyDescent="0.3">
      <c r="AF60">
        <v>-7.6612709319447303E-2</v>
      </c>
      <c r="AG60">
        <v>-5.1055552942791307E-2</v>
      </c>
      <c r="AH60">
        <v>0.44476045742246789</v>
      </c>
      <c r="AI60">
        <v>0.22562322087827807</v>
      </c>
      <c r="AK60" s="22">
        <f t="shared" si="17"/>
        <v>0.36632225347170932</v>
      </c>
      <c r="AL60" s="22">
        <f t="shared" si="17"/>
        <v>8.4620001800680647E-2</v>
      </c>
      <c r="AM60" s="22">
        <f t="shared" si="17"/>
        <v>-5.0988448729792496E-2</v>
      </c>
      <c r="AN60" s="22">
        <f t="shared" si="17"/>
        <v>-0.14799237284262143</v>
      </c>
    </row>
    <row r="61" spans="27:40" x14ac:dyDescent="0.3">
      <c r="AF61">
        <v>-7.6612709319447303E-2</v>
      </c>
      <c r="AG61">
        <v>-5.1055552942791307E-2</v>
      </c>
      <c r="AH61">
        <v>0.44476045742246789</v>
      </c>
      <c r="AI61">
        <v>0.22562322087827807</v>
      </c>
      <c r="AK61" s="22">
        <f t="shared" si="17"/>
        <v>-0.74217203652829089</v>
      </c>
      <c r="AL61" s="22">
        <f t="shared" si="17"/>
        <v>-0.36098623819931941</v>
      </c>
      <c r="AM61" s="22">
        <f t="shared" si="17"/>
        <v>-0.22348369872979251</v>
      </c>
      <c r="AN61" s="22">
        <f t="shared" si="17"/>
        <v>0.53112058715737864</v>
      </c>
    </row>
  </sheetData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39AA-402D-47CE-8031-6860194836BB}">
  <dimension ref="B3:AR54"/>
  <sheetViews>
    <sheetView topLeftCell="F4" workbookViewId="0">
      <selection activeCell="AI6" sqref="AI6"/>
    </sheetView>
  </sheetViews>
  <sheetFormatPr defaultRowHeight="14.4" x14ac:dyDescent="0.3"/>
  <sheetData>
    <row r="3" spans="2:35" x14ac:dyDescent="0.3">
      <c r="B3" t="s">
        <v>0</v>
      </c>
      <c r="C3" t="s">
        <v>1</v>
      </c>
      <c r="J3" t="s">
        <v>7</v>
      </c>
    </row>
    <row r="4" spans="2:35" x14ac:dyDescent="0.3">
      <c r="C4" s="3">
        <v>4</v>
      </c>
      <c r="D4">
        <v>6</v>
      </c>
      <c r="E4">
        <v>1</v>
      </c>
      <c r="F4">
        <v>3</v>
      </c>
      <c r="G4">
        <v>2</v>
      </c>
      <c r="H4">
        <v>1</v>
      </c>
      <c r="J4">
        <v>1</v>
      </c>
      <c r="AG4" t="s">
        <v>89</v>
      </c>
    </row>
    <row r="5" spans="2:35" x14ac:dyDescent="0.3">
      <c r="C5" s="3">
        <v>10</v>
      </c>
      <c r="D5">
        <v>1</v>
      </c>
      <c r="E5">
        <v>2</v>
      </c>
      <c r="F5">
        <v>5</v>
      </c>
      <c r="G5">
        <v>1</v>
      </c>
      <c r="H5">
        <v>2</v>
      </c>
      <c r="J5">
        <v>0</v>
      </c>
      <c r="Z5" s="1" t="s">
        <v>11</v>
      </c>
    </row>
    <row r="6" spans="2:35" x14ac:dyDescent="0.3">
      <c r="R6">
        <f t="array" ref="R6:S7">MMULT(M9:P10,TRANSPOSE(M18:P19))</f>
        <v>9.4084395398170315</v>
      </c>
      <c r="S6">
        <v>4.1119477986587336</v>
      </c>
      <c r="Z6">
        <f t="array" ref="Z6:AC7">MMULT(R29:S30,M27:P28)</f>
        <v>-2.7962992438297678</v>
      </c>
      <c r="AA6">
        <v>-3.043198494542048</v>
      </c>
      <c r="AB6">
        <v>0.78859821984395062</v>
      </c>
      <c r="AC6">
        <v>0.81685412279134995</v>
      </c>
      <c r="AE6">
        <f>1/(1+EXP(-Z6))</f>
        <v>5.7524485711471104E-2</v>
      </c>
      <c r="AG6">
        <f>AE6-J4</f>
        <v>-0.94247551428852894</v>
      </c>
      <c r="AI6">
        <f>-J4*LN(AE6)-(1-J4)*LN(1-AE6)</f>
        <v>2.8555445833619304</v>
      </c>
    </row>
    <row r="7" spans="2:35" x14ac:dyDescent="0.3">
      <c r="L7" t="s">
        <v>2</v>
      </c>
      <c r="R7">
        <v>43.65995705307634</v>
      </c>
      <c r="S7">
        <v>40.84835815736777</v>
      </c>
      <c r="Z7">
        <v>-2.3794607045919443</v>
      </c>
      <c r="AA7">
        <v>-3.90273323847358</v>
      </c>
      <c r="AB7">
        <v>0.6916299983923142</v>
      </c>
      <c r="AC7">
        <v>0.51120955820037128</v>
      </c>
      <c r="AE7">
        <f>1/(1+EXP(-Z7))</f>
        <v>8.4752389196668193E-2</v>
      </c>
      <c r="AG7">
        <f>AE7-J5</f>
        <v>8.4752389196668193E-2</v>
      </c>
      <c r="AI7">
        <f t="shared" ref="AI7" si="0">-J5*LN(AE7)-(1-J5)*LN(1-AE7)</f>
        <v>8.8560637415865853E-2</v>
      </c>
    </row>
    <row r="8" spans="2:35" x14ac:dyDescent="0.3">
      <c r="M8" s="2">
        <v>0</v>
      </c>
      <c r="N8" s="2">
        <v>1</v>
      </c>
      <c r="O8" s="2">
        <v>2</v>
      </c>
      <c r="P8" s="2">
        <v>3</v>
      </c>
    </row>
    <row r="9" spans="2:35" x14ac:dyDescent="0.3">
      <c r="M9">
        <f t="array" ref="M9:P10">MMULT(C4:H5,C13:F18)</f>
        <v>0.21971835899551773</v>
      </c>
      <c r="N9">
        <v>-3.5182412208566642</v>
      </c>
      <c r="O9">
        <v>2.4292240566931698</v>
      </c>
      <c r="P9">
        <v>1.6338626620718799</v>
      </c>
    </row>
    <row r="10" spans="2:35" x14ac:dyDescent="0.3">
      <c r="M10">
        <v>3.4708752862977961</v>
      </c>
      <c r="N10">
        <v>-5.205153008358673</v>
      </c>
      <c r="O10">
        <v>-1.096077669786556</v>
      </c>
      <c r="P10">
        <v>3.8057119658650422</v>
      </c>
    </row>
    <row r="12" spans="2:35" x14ac:dyDescent="0.3">
      <c r="B12" t="s">
        <v>2</v>
      </c>
      <c r="AI12" s="1">
        <f>AVERAGE(AI6:AI7)</f>
        <v>1.4720526103888982</v>
      </c>
    </row>
    <row r="13" spans="2:35" x14ac:dyDescent="0.3">
      <c r="C13">
        <f>'Eight Iteration'!AK48</f>
        <v>0.24761515022977226</v>
      </c>
      <c r="D13">
        <f>'Eight Iteration'!AL48</f>
        <v>-7.140113084993184E-2</v>
      </c>
      <c r="E13">
        <f>'Eight Iteration'!AM48</f>
        <v>0.32441445159603405</v>
      </c>
      <c r="F13">
        <f>'Eight Iteration'!AN48</f>
        <v>0.75968403976281729</v>
      </c>
      <c r="R13" s="1" t="s">
        <v>5</v>
      </c>
    </row>
    <row r="14" spans="2:35" x14ac:dyDescent="0.3">
      <c r="C14">
        <f>'Eight Iteration'!AK49</f>
        <v>-0.10324348975267865</v>
      </c>
      <c r="D14">
        <f>'Eight Iteration'!AL49</f>
        <v>-0.13441566473267577</v>
      </c>
      <c r="E14">
        <f>'Eight Iteration'!AM49</f>
        <v>0.80225281158376105</v>
      </c>
      <c r="F14">
        <f>'Eight Iteration'!AN49</f>
        <v>0.30843517823824618</v>
      </c>
      <c r="R14">
        <f>R6/SQRT(4)</f>
        <v>4.7042197699085158</v>
      </c>
      <c r="S14">
        <f t="shared" ref="S14" si="1">S6/SQRT(4)</f>
        <v>2.0559738993293668</v>
      </c>
    </row>
    <row r="15" spans="2:35" x14ac:dyDescent="0.3">
      <c r="C15">
        <f>'Eight Iteration'!AK50</f>
        <v>-0.23240247955363155</v>
      </c>
      <c r="D15">
        <f>'Eight Iteration'!AL50</f>
        <v>0.25899957066263973</v>
      </c>
      <c r="E15">
        <f>'Eight Iteration'!AM50</f>
        <v>-0.22601366784507473</v>
      </c>
      <c r="F15">
        <f>'Eight Iteration'!AN50</f>
        <v>-0.26261781016237318</v>
      </c>
      <c r="R15">
        <f t="shared" ref="R15:S15" si="2">R7/SQRT(4)</f>
        <v>21.82997852653817</v>
      </c>
      <c r="S15">
        <f t="shared" si="2"/>
        <v>20.424179078683885</v>
      </c>
    </row>
    <row r="16" spans="2:35" x14ac:dyDescent="0.3">
      <c r="C16">
        <f>'Eight Iteration'!AK51</f>
        <v>0.12120555835694148</v>
      </c>
      <c r="D16">
        <f>'Eight Iteration'!AL51</f>
        <v>-0.95978553836421843</v>
      </c>
      <c r="E16">
        <f>'Eight Iteration'!AM51</f>
        <v>-0.86114342514602515</v>
      </c>
      <c r="F16">
        <f>'Eight Iteration'!AN51</f>
        <v>-0.28761949671506865</v>
      </c>
      <c r="L16" t="s">
        <v>3</v>
      </c>
    </row>
    <row r="17" spans="2:26" x14ac:dyDescent="0.3">
      <c r="C17">
        <f>'Eight Iteration'!AK52</f>
        <v>-0.50724514630823081</v>
      </c>
      <c r="D17">
        <f>'Eight Iteration'!AL52</f>
        <v>0.15474205178971104</v>
      </c>
      <c r="E17">
        <f>'Eight Iteration'!AM52</f>
        <v>-0.45342760530346093</v>
      </c>
      <c r="F17">
        <f>'Eight Iteration'!AN52</f>
        <v>-0.70792867536709581</v>
      </c>
      <c r="M17" s="2">
        <v>0</v>
      </c>
      <c r="N17" s="2">
        <v>1</v>
      </c>
      <c r="O17" s="2">
        <v>2</v>
      </c>
      <c r="P17" s="2">
        <v>3</v>
      </c>
    </row>
    <row r="18" spans="2:26" x14ac:dyDescent="0.3">
      <c r="C18">
        <f>'Eight Iteration'!AK53</f>
        <v>0.73199479369176923</v>
      </c>
      <c r="D18">
        <f>'Eight Iteration'!AL53</f>
        <v>-0.11526976821028898</v>
      </c>
      <c r="E18">
        <f>'Eight Iteration'!AM53</f>
        <v>3.4348534696539097E-2</v>
      </c>
      <c r="F18">
        <f>'Eight Iteration'!AN53</f>
        <v>-0.71415091536709574</v>
      </c>
      <c r="M18">
        <f t="array" ref="M18:P19">MMULT(C4:H5,C20:F25)</f>
        <v>-2.5353841469336302</v>
      </c>
      <c r="N18">
        <v>-4.2846748305511495</v>
      </c>
      <c r="O18">
        <v>-6.226730393203928</v>
      </c>
      <c r="P18">
        <v>6.1309398124095527</v>
      </c>
    </row>
    <row r="19" spans="2:26" x14ac:dyDescent="0.3">
      <c r="B19" t="s">
        <v>8</v>
      </c>
      <c r="C19" t="s">
        <v>9</v>
      </c>
      <c r="M19">
        <v>-3.6667318380518061</v>
      </c>
      <c r="N19">
        <v>-6.1972085829254544</v>
      </c>
      <c r="O19">
        <v>-8.9791885369742452</v>
      </c>
      <c r="P19">
        <v>3.0154200400484332</v>
      </c>
    </row>
    <row r="20" spans="2:26" x14ac:dyDescent="0.3">
      <c r="C20">
        <f>'Eight Iteration'!AK56</f>
        <v>-0.27490238642320225</v>
      </c>
      <c r="D20">
        <f>'Eight Iteration'!AL56</f>
        <v>5.4463215344064446E-2</v>
      </c>
      <c r="E20">
        <f>'Eight Iteration'!AM56</f>
        <v>-0.56939223498116343</v>
      </c>
      <c r="F20">
        <f>'Eight Iteration'!AN56</f>
        <v>0.18997537724510202</v>
      </c>
    </row>
    <row r="21" spans="2:26" x14ac:dyDescent="0.3">
      <c r="C21">
        <f>'Eight Iteration'!AK57</f>
        <v>-0.28684250291228131</v>
      </c>
      <c r="D21">
        <f>'Eight Iteration'!AL57</f>
        <v>-0.13968245324968384</v>
      </c>
      <c r="E21">
        <f>'Eight Iteration'!AM57</f>
        <v>-0.34561590444405088</v>
      </c>
      <c r="F21">
        <f>'Eight Iteration'!AN57</f>
        <v>0.90629470539718415</v>
      </c>
      <c r="R21">
        <f>EXP(R14)</f>
        <v>110.41210448516544</v>
      </c>
      <c r="S21">
        <f t="shared" ref="S21" si="3">EXP(S14)</f>
        <v>7.8144446503211382</v>
      </c>
    </row>
    <row r="22" spans="2:26" x14ac:dyDescent="0.3">
      <c r="C22">
        <f>'Eight Iteration'!AK58</f>
        <v>-1.2570683056581392E-2</v>
      </c>
      <c r="D22">
        <f>'Eight Iteration'!AL58</f>
        <v>-0.53098373639863883</v>
      </c>
      <c r="E22">
        <f>'Eight Iteration'!AM58</f>
        <v>0.42494384254041506</v>
      </c>
      <c r="F22">
        <f>'Eight Iteration'!AN58</f>
        <v>-0.60530286568524283</v>
      </c>
      <c r="R22">
        <f t="shared" ref="R22:S22" si="4">EXP(R15)</f>
        <v>3024399893.8126559</v>
      </c>
      <c r="S22">
        <f t="shared" si="4"/>
        <v>741495075.81986451</v>
      </c>
    </row>
    <row r="23" spans="2:26" x14ac:dyDescent="0.3">
      <c r="C23">
        <f>'Eight Iteration'!AK59</f>
        <v>0.10245954295810664</v>
      </c>
      <c r="D23">
        <f>'Eight Iteration'!AL59</f>
        <v>-0.98056766714423582</v>
      </c>
      <c r="E23">
        <f>'Eight Iteration'!AM59</f>
        <v>-0.65831642432200232</v>
      </c>
      <c r="F23">
        <f>'Eight Iteration'!AN59</f>
        <v>0.10114569841971573</v>
      </c>
    </row>
    <row r="24" spans="2:26" x14ac:dyDescent="0.3">
      <c r="C24">
        <f>'Eight Iteration'!AK60</f>
        <v>0.36632225347170932</v>
      </c>
      <c r="D24">
        <f>'Eight Iteration'!AL60</f>
        <v>8.4620001800680647E-2</v>
      </c>
      <c r="E24">
        <f>'Eight Iteration'!AM60</f>
        <v>-5.0988448729792496E-2</v>
      </c>
      <c r="F24">
        <f>'Eight Iteration'!AN60</f>
        <v>-0.14799237284262143</v>
      </c>
    </row>
    <row r="25" spans="2:26" x14ac:dyDescent="0.3">
      <c r="C25">
        <f>'Eight Iteration'!AK61</f>
        <v>-0.74217203652829089</v>
      </c>
      <c r="D25">
        <f>'Eight Iteration'!AL61</f>
        <v>-0.36098623819931941</v>
      </c>
      <c r="E25">
        <f>'Eight Iteration'!AM61</f>
        <v>-0.22348369872979251</v>
      </c>
      <c r="F25">
        <f>'Eight Iteration'!AN61</f>
        <v>0.53112058715737864</v>
      </c>
      <c r="L25" t="s">
        <v>4</v>
      </c>
    </row>
    <row r="26" spans="2:26" x14ac:dyDescent="0.3">
      <c r="B26" t="s">
        <v>10</v>
      </c>
      <c r="C26" t="s">
        <v>9</v>
      </c>
      <c r="M26" s="2">
        <v>0</v>
      </c>
      <c r="N26" s="2">
        <v>1</v>
      </c>
      <c r="O26" s="2">
        <v>2</v>
      </c>
      <c r="P26" s="2">
        <v>3</v>
      </c>
    </row>
    <row r="27" spans="2:26" x14ac:dyDescent="0.3">
      <c r="C27">
        <f>'Eight Iteration'!AK38</f>
        <v>0.19828196820285898</v>
      </c>
      <c r="D27">
        <f>'Eight Iteration'!AL38</f>
        <v>-0.85504725179714103</v>
      </c>
      <c r="E27">
        <f>'Eight Iteration'!AM38</f>
        <v>0.18851480820285899</v>
      </c>
      <c r="F27">
        <f>'Eight Iteration'!AN38</f>
        <v>-0.16606831179714102</v>
      </c>
      <c r="M27">
        <f t="array" ref="M27:P28">MMULT(C4:H5,C27:F32)</f>
        <v>-3.0069400243050564</v>
      </c>
      <c r="N27">
        <v>-2.6088502943050553</v>
      </c>
      <c r="O27">
        <v>0.83759911569494516</v>
      </c>
      <c r="P27">
        <v>0.9713053156949446</v>
      </c>
    </row>
    <row r="28" spans="2:26" x14ac:dyDescent="0.3">
      <c r="C28">
        <f>'Eight Iteration'!AK39</f>
        <v>-0.62458421797177543</v>
      </c>
      <c r="D28">
        <f>'Eight Iteration'!AL39</f>
        <v>1.9714922028224655E-2</v>
      </c>
      <c r="E28">
        <f>'Eight Iteration'!AM39</f>
        <v>0.22937654202822466</v>
      </c>
      <c r="F28">
        <f>'Eight Iteration'!AN39</f>
        <v>0.17951684202822465</v>
      </c>
      <c r="M28">
        <v>0.17989329490919659</v>
      </c>
      <c r="N28">
        <v>-9.1802051550908033</v>
      </c>
      <c r="O28">
        <v>9.6253174909197436E-2</v>
      </c>
      <c r="P28">
        <v>-1.3654226750908032</v>
      </c>
      <c r="R28" s="1" t="s">
        <v>6</v>
      </c>
      <c r="Z28" s="1"/>
    </row>
    <row r="29" spans="2:26" x14ac:dyDescent="0.3">
      <c r="C29">
        <f>'Eight Iteration'!AK40</f>
        <v>-0.43385873504615019</v>
      </c>
      <c r="D29">
        <f>'Eight Iteration'!AL40</f>
        <v>-0.1688561650461502</v>
      </c>
      <c r="E29">
        <f>'Eight Iteration'!AM40</f>
        <v>0.15138174495384984</v>
      </c>
      <c r="F29">
        <f>'Eight Iteration'!AN40</f>
        <v>0.47352258495384986</v>
      </c>
      <c r="R29">
        <f>R21/SUM($R21:$S21)</f>
        <v>0.93390279334495463</v>
      </c>
      <c r="S29">
        <f>S21/SUM($R21:$S21)</f>
        <v>6.6097206655045426E-2</v>
      </c>
    </row>
    <row r="30" spans="2:26" x14ac:dyDescent="0.3">
      <c r="C30">
        <f>'Eight Iteration'!AK41</f>
        <v>-0.23323797240781421</v>
      </c>
      <c r="D30">
        <f>'Eight Iteration'!AL41</f>
        <v>-8.6480342407814256E-2</v>
      </c>
      <c r="E30">
        <f>'Eight Iteration'!AM41</f>
        <v>-0.54681834240781413</v>
      </c>
      <c r="F30">
        <f>'Eight Iteration'!AN41</f>
        <v>-0.5917541624078142</v>
      </c>
      <c r="R30">
        <f>R22/SUM($R22:$S22)</f>
        <v>0.80310256079918751</v>
      </c>
      <c r="S30">
        <f>S22/SUM($R22:$S22)</f>
        <v>0.1968974392008124</v>
      </c>
    </row>
    <row r="31" spans="2:26" x14ac:dyDescent="0.3">
      <c r="C31">
        <f>'Eight Iteration'!AK42</f>
        <v>0.43548498766125127</v>
      </c>
      <c r="D31">
        <f>'Eight Iteration'!AL42</f>
        <v>0.70734208766125117</v>
      </c>
      <c r="E31">
        <f>'Eight Iteration'!AM42</f>
        <v>-6.7829823387487642E-3</v>
      </c>
      <c r="F31">
        <f>'Eight Iteration'!AN42</f>
        <v>0.53098852766125115</v>
      </c>
    </row>
    <row r="32" spans="2:26" x14ac:dyDescent="0.3">
      <c r="C32">
        <f>'Eight Iteration'!AK43</f>
        <v>0.21004008766125123</v>
      </c>
      <c r="D32">
        <f>'Eight Iteration'!AL43</f>
        <v>-0.29333780233874873</v>
      </c>
      <c r="E32">
        <f>'Eight Iteration'!AM43</f>
        <v>0.20991987766125123</v>
      </c>
      <c r="F32">
        <f>'Eight Iteration'!AN43</f>
        <v>0.79824035766125123</v>
      </c>
    </row>
    <row r="36" spans="26:44" x14ac:dyDescent="0.3">
      <c r="Z36" s="1"/>
      <c r="AM36" s="1"/>
      <c r="AR36" s="1"/>
    </row>
    <row r="44" spans="26:44" x14ac:dyDescent="0.3">
      <c r="Z44" s="1"/>
    </row>
    <row r="46" spans="26:44" x14ac:dyDescent="0.3">
      <c r="AH46" s="1"/>
      <c r="AM46" s="1"/>
      <c r="AR46" s="1"/>
    </row>
    <row r="53" spans="26:44" x14ac:dyDescent="0.3">
      <c r="Z53" s="1"/>
    </row>
    <row r="54" spans="26:44" x14ac:dyDescent="0.3">
      <c r="AH54" s="1"/>
      <c r="AM54" s="1"/>
      <c r="AR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Data (2)</vt:lpstr>
      <vt:lpstr>Data</vt:lpstr>
      <vt:lpstr>First Iteration</vt:lpstr>
      <vt:lpstr>Second Iteration</vt:lpstr>
      <vt:lpstr>Third Iteration</vt:lpstr>
      <vt:lpstr>Forth Iteration</vt:lpstr>
      <vt:lpstr>Fifth Iteration</vt:lpstr>
      <vt:lpstr>Sixth Iteration</vt:lpstr>
      <vt:lpstr>Seventh Iteration</vt:lpstr>
      <vt:lpstr>Eight Iteration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Maheshwari</dc:creator>
  <cp:lastModifiedBy>Chandrakant Maheshwari</cp:lastModifiedBy>
  <dcterms:created xsi:type="dcterms:W3CDTF">2025-02-11T02:37:06Z</dcterms:created>
  <dcterms:modified xsi:type="dcterms:W3CDTF">2025-10-20T14:22:45Z</dcterms:modified>
</cp:coreProperties>
</file>