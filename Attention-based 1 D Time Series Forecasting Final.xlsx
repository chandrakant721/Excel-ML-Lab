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f4c1ba95ae0c30/Documents/Excel Projects/AttentionBasedTimeSeries/Passenger/"/>
    </mc:Choice>
  </mc:AlternateContent>
  <xr:revisionPtr revIDLastSave="127" documentId="8_{EDCF331C-B3BA-4740-99CD-E9CAFFC7208C}" xr6:coauthVersionLast="47" xr6:coauthVersionMax="47" xr10:uidLastSave="{6F9F39DA-037D-4DCD-AE97-20C6F7988D14}"/>
  <bookViews>
    <workbookView xWindow="-46188" yWindow="612" windowWidth="23256" windowHeight="12456" firstSheet="1" activeTab="1" xr2:uid="{8A7BE917-F888-4E5D-82AC-54E30C80B6DF}"/>
  </bookViews>
  <sheets>
    <sheet name="Read_Me" sheetId="11" r:id="rId1"/>
    <sheet name="Algorithm" sheetId="13" r:id="rId2"/>
    <sheet name="1_RawData" sheetId="2" r:id="rId3"/>
    <sheet name="2_Preprocessed" sheetId="8" r:id="rId4"/>
    <sheet name="3_TrainWindows" sheetId="4" r:id="rId5"/>
    <sheet name="4_TestWindows" sheetId="9" r:id="rId6"/>
    <sheet name="5_AttentionModel" sheetId="10" r:id="rId7"/>
  </sheets>
  <definedNames>
    <definedName name="train_end_idx">'1_RawData'!$H$1</definedName>
    <definedName name="train_flag">#REF!</definedName>
    <definedName name="ts_month">'1_RawData'!$A$2:$A$145</definedName>
    <definedName name="ts_y">'1_RawData'!$B$2:$B$145</definedName>
    <definedName name="ts_ylog">#REF!</definedName>
    <definedName name="ts_yst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9" l="1"/>
  <c r="C4" i="9"/>
  <c r="C5" i="9"/>
  <c r="C6" i="9"/>
  <c r="C7" i="9"/>
  <c r="C8" i="9"/>
  <c r="C9" i="9"/>
  <c r="C10" i="9"/>
  <c r="C11" i="9"/>
  <c r="C12" i="9"/>
  <c r="C13" i="9"/>
  <c r="C2" i="9"/>
  <c r="B2" i="9"/>
  <c r="D2" i="9" a="1"/>
  <c r="D2" i="9" s="1"/>
  <c r="G1" i="8"/>
  <c r="B148" i="10" a="1"/>
  <c r="B148" i="10" s="1"/>
  <c r="H1" i="8"/>
  <c r="A20" i="10"/>
  <c r="A21" i="10"/>
  <c r="B21" i="10" a="1"/>
  <c r="B21" i="10"/>
  <c r="A22" i="10"/>
  <c r="A23" i="10"/>
  <c r="A24" i="10"/>
  <c r="C24" i="10" s="1" a="1"/>
  <c r="C24" i="10" s="1"/>
  <c r="B24" i="10" a="1"/>
  <c r="B24" i="10" s="1"/>
  <c r="A25" i="10"/>
  <c r="D25" i="10" s="1" a="1"/>
  <c r="D25" i="10" s="1"/>
  <c r="C25" i="10" a="1"/>
  <c r="C25" i="10" s="1"/>
  <c r="A26" i="10"/>
  <c r="D26" i="10" a="1"/>
  <c r="D26" i="10" s="1"/>
  <c r="A27" i="10"/>
  <c r="C27" i="10" s="1" a="1"/>
  <c r="C27" i="10" s="1"/>
  <c r="D27" i="10" a="1"/>
  <c r="D27" i="10"/>
  <c r="A28" i="10"/>
  <c r="C28" i="10" s="1" a="1"/>
  <c r="C28" i="10" s="1"/>
  <c r="A29" i="10"/>
  <c r="A30" i="10"/>
  <c r="A31" i="10"/>
  <c r="C31" i="10" s="1" a="1"/>
  <c r="C31" i="10" s="1"/>
  <c r="A32" i="10"/>
  <c r="A33" i="10"/>
  <c r="C33" i="10" s="1" a="1"/>
  <c r="C33" i="10" s="1"/>
  <c r="A34" i="10"/>
  <c r="C34" i="10" s="1" a="1"/>
  <c r="C34" i="10" s="1"/>
  <c r="A35" i="10"/>
  <c r="A36" i="10"/>
  <c r="C36" i="10" a="1"/>
  <c r="C36" i="10" s="1"/>
  <c r="D36" i="10" a="1"/>
  <c r="D36" i="10" s="1"/>
  <c r="A37" i="10"/>
  <c r="A38" i="10"/>
  <c r="C38" i="10" s="1" a="1"/>
  <c r="C38" i="10" s="1"/>
  <c r="A39" i="10"/>
  <c r="A40" i="10"/>
  <c r="A41" i="10"/>
  <c r="C41" i="10" s="1" a="1"/>
  <c r="C41" i="10" s="1"/>
  <c r="D41" i="10" a="1"/>
  <c r="D41" i="10" s="1"/>
  <c r="A42" i="10"/>
  <c r="A43" i="10"/>
  <c r="A44" i="10"/>
  <c r="A45" i="10"/>
  <c r="A46" i="10"/>
  <c r="D46" i="10" a="1"/>
  <c r="D46" i="10" s="1"/>
  <c r="A47" i="10"/>
  <c r="A48" i="10"/>
  <c r="C48" i="10" s="1" a="1"/>
  <c r="C48" i="10" s="1"/>
  <c r="D48" i="10" a="1"/>
  <c r="D48" i="10" s="1"/>
  <c r="A49" i="10"/>
  <c r="A50" i="10"/>
  <c r="A51" i="10"/>
  <c r="A52" i="10"/>
  <c r="D52" i="10" s="1" a="1"/>
  <c r="D52" i="10" s="1"/>
  <c r="C52" i="10" a="1"/>
  <c r="C52" i="10" s="1"/>
  <c r="A53" i="10"/>
  <c r="C53" i="10" s="1" a="1"/>
  <c r="C53" i="10" s="1"/>
  <c r="A54" i="10"/>
  <c r="A55" i="10"/>
  <c r="A56" i="10"/>
  <c r="A57" i="10"/>
  <c r="C57" i="10" a="1"/>
  <c r="C57" i="10" s="1"/>
  <c r="A58" i="10"/>
  <c r="A59" i="10"/>
  <c r="A60" i="10"/>
  <c r="D60" i="10" s="1" a="1"/>
  <c r="D60" i="10" s="1"/>
  <c r="A61" i="10"/>
  <c r="D61" i="10" s="1" a="1"/>
  <c r="D61" i="10" s="1"/>
  <c r="C61" i="10" a="1"/>
  <c r="C61" i="10" s="1"/>
  <c r="A62" i="10"/>
  <c r="C62" i="10" a="1"/>
  <c r="C62" i="10" s="1"/>
  <c r="A63" i="10"/>
  <c r="A64" i="10"/>
  <c r="A65" i="10"/>
  <c r="A66" i="10"/>
  <c r="C66" i="10" s="1" a="1"/>
  <c r="C66" i="10" s="1"/>
  <c r="A67" i="10"/>
  <c r="C67" i="10" s="1" a="1"/>
  <c r="C67" i="10" s="1"/>
  <c r="A68" i="10"/>
  <c r="A69" i="10"/>
  <c r="A70" i="10"/>
  <c r="C70" i="10" a="1"/>
  <c r="C70" i="10"/>
  <c r="D70" i="10" a="1"/>
  <c r="D70" i="10" s="1"/>
  <c r="A71" i="10"/>
  <c r="A72" i="10"/>
  <c r="A73" i="10"/>
  <c r="A74" i="10"/>
  <c r="C74" i="10" s="1" a="1"/>
  <c r="C74" i="10" s="1"/>
  <c r="A75" i="10"/>
  <c r="A76" i="10"/>
  <c r="D76" i="10" s="1" a="1"/>
  <c r="D76" i="10" s="1"/>
  <c r="C76" i="10" a="1"/>
  <c r="C76" i="10" s="1"/>
  <c r="A77" i="10"/>
  <c r="A78" i="10"/>
  <c r="D78" i="10" a="1"/>
  <c r="D78" i="10"/>
  <c r="A79" i="10"/>
  <c r="A80" i="10"/>
  <c r="D80" i="10" s="1" a="1"/>
  <c r="D80" i="10" s="1"/>
  <c r="C80" i="10" a="1"/>
  <c r="C80" i="10" s="1"/>
  <c r="A81" i="10"/>
  <c r="A82" i="10"/>
  <c r="D82" i="10" s="1" a="1"/>
  <c r="D82" i="10" s="1"/>
  <c r="A83" i="10"/>
  <c r="D83" i="10" s="1" a="1"/>
  <c r="D83" i="10" s="1"/>
  <c r="A84" i="10"/>
  <c r="A85" i="10"/>
  <c r="C85" i="10" a="1"/>
  <c r="C85" i="10"/>
  <c r="D85" i="10" a="1"/>
  <c r="D85" i="10"/>
  <c r="A86" i="10"/>
  <c r="A87" i="10"/>
  <c r="A88" i="10"/>
  <c r="D88" i="10" s="1" a="1"/>
  <c r="D88" i="10" s="1"/>
  <c r="A89" i="10"/>
  <c r="A90" i="10"/>
  <c r="C90" i="10" s="1" a="1"/>
  <c r="C90" i="10" s="1"/>
  <c r="A91" i="10"/>
  <c r="A92" i="10"/>
  <c r="A93" i="10"/>
  <c r="A94" i="10"/>
  <c r="D94" i="10" a="1"/>
  <c r="D94" i="10" s="1"/>
  <c r="A95" i="10"/>
  <c r="C95" i="10" s="1" a="1"/>
  <c r="C95" i="10" s="1"/>
  <c r="A96" i="10"/>
  <c r="D96" i="10" s="1" a="1"/>
  <c r="D96" i="10" s="1"/>
  <c r="C96" i="10" a="1"/>
  <c r="C96" i="10" s="1"/>
  <c r="A97" i="10"/>
  <c r="D97" i="10" a="1"/>
  <c r="D97" i="10" s="1"/>
  <c r="A98" i="10"/>
  <c r="A99" i="10"/>
  <c r="A100" i="10"/>
  <c r="A101" i="10"/>
  <c r="D101" i="10" s="1" a="1"/>
  <c r="D101" i="10" s="1"/>
  <c r="A102" i="10"/>
  <c r="C102" i="10" a="1"/>
  <c r="C102" i="10"/>
  <c r="A103" i="10"/>
  <c r="A104" i="10"/>
  <c r="A105" i="10"/>
  <c r="A106" i="10"/>
  <c r="A107" i="10"/>
  <c r="A108" i="10"/>
  <c r="D108" i="10" a="1"/>
  <c r="D108" i="10"/>
  <c r="A109" i="10"/>
  <c r="C109" i="10" a="1"/>
  <c r="C109" i="10" s="1"/>
  <c r="D109" i="10" a="1"/>
  <c r="D109" i="10"/>
  <c r="A110" i="10"/>
  <c r="D110" i="10" s="1" a="1"/>
  <c r="D110" i="10" s="1"/>
  <c r="C110" i="10" a="1"/>
  <c r="C110" i="10"/>
  <c r="A111" i="10"/>
  <c r="A112" i="10"/>
  <c r="A113" i="10"/>
  <c r="D113" i="10" a="1"/>
  <c r="D113" i="10"/>
  <c r="A114" i="10"/>
  <c r="A115" i="10"/>
  <c r="A116" i="10"/>
  <c r="D116" i="10" s="1" a="1"/>
  <c r="D116" i="10" s="1"/>
  <c r="A117" i="10"/>
  <c r="C117" i="10" s="1" a="1"/>
  <c r="C117" i="10" s="1"/>
  <c r="A118" i="10"/>
  <c r="A119" i="10"/>
  <c r="A120" i="10"/>
  <c r="A121" i="10"/>
  <c r="A122" i="10"/>
  <c r="C122" i="10" a="1"/>
  <c r="C122" i="10"/>
  <c r="D122" i="10" a="1"/>
  <c r="D122" i="10" s="1"/>
  <c r="A123" i="10"/>
  <c r="D123" i="10" s="1" a="1"/>
  <c r="D123" i="10" s="1"/>
  <c r="A124" i="10"/>
  <c r="C124" i="10" s="1" a="1"/>
  <c r="C124" i="10" s="1"/>
  <c r="A125" i="10"/>
  <c r="D125" i="10" a="1"/>
  <c r="D125" i="10" s="1"/>
  <c r="A126" i="10"/>
  <c r="C126" i="10" s="1" a="1"/>
  <c r="C126" i="10" s="1"/>
  <c r="A127" i="10"/>
  <c r="A128" i="10"/>
  <c r="A129" i="10"/>
  <c r="A130" i="10"/>
  <c r="C130" i="10" s="1" a="1"/>
  <c r="C130" i="10" s="1"/>
  <c r="A131" i="10"/>
  <c r="D131" i="10" s="1" a="1"/>
  <c r="D131" i="10" s="1"/>
  <c r="C131" i="10" a="1"/>
  <c r="C131" i="10"/>
  <c r="A132" i="10"/>
  <c r="C132" i="10" a="1"/>
  <c r="C132" i="10"/>
  <c r="A133" i="10"/>
  <c r="A134" i="10"/>
  <c r="A135" i="10"/>
  <c r="A136" i="10"/>
  <c r="C136" i="10" s="1" a="1"/>
  <c r="C136" i="10" s="1"/>
  <c r="A137" i="10"/>
  <c r="C137" i="10" a="1"/>
  <c r="C137" i="10" s="1"/>
  <c r="A138" i="10"/>
  <c r="C3" i="4"/>
  <c r="D3" i="4"/>
  <c r="C4" i="4"/>
  <c r="D4" i="4"/>
  <c r="C5" i="4"/>
  <c r="D5" i="4"/>
  <c r="C6" i="4"/>
  <c r="D6" i="4"/>
  <c r="C7" i="4"/>
  <c r="D7" i="4"/>
  <c r="C8" i="4"/>
  <c r="D8" i="4"/>
  <c r="C9" i="4"/>
  <c r="D9" i="4"/>
  <c r="C10" i="4"/>
  <c r="D10" i="4"/>
  <c r="C11" i="4"/>
  <c r="D11" i="4"/>
  <c r="C12" i="4"/>
  <c r="D12" i="4"/>
  <c r="C13" i="4"/>
  <c r="D13" i="4"/>
  <c r="C14" i="4"/>
  <c r="D14" i="4"/>
  <c r="C15" i="4"/>
  <c r="D15" i="4"/>
  <c r="C16" i="4"/>
  <c r="D16" i="4"/>
  <c r="C17" i="4"/>
  <c r="D17" i="4"/>
  <c r="C18" i="4"/>
  <c r="D18" i="4"/>
  <c r="C19" i="4"/>
  <c r="D19" i="4"/>
  <c r="C20" i="4"/>
  <c r="D20" i="4"/>
  <c r="C21" i="4"/>
  <c r="D21" i="4"/>
  <c r="C22" i="4"/>
  <c r="D22" i="4"/>
  <c r="C23" i="4"/>
  <c r="D23" i="4"/>
  <c r="C24" i="4"/>
  <c r="D24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41" i="4"/>
  <c r="D41" i="4"/>
  <c r="C42" i="4"/>
  <c r="D42" i="4"/>
  <c r="C43" i="4"/>
  <c r="D43" i="4"/>
  <c r="C44" i="4"/>
  <c r="D44" i="4"/>
  <c r="C45" i="4"/>
  <c r="D45" i="4"/>
  <c r="C46" i="4"/>
  <c r="D46" i="4"/>
  <c r="C47" i="4"/>
  <c r="D47" i="4"/>
  <c r="C48" i="4"/>
  <c r="D48" i="4"/>
  <c r="C49" i="4"/>
  <c r="D49" i="4"/>
  <c r="C50" i="4"/>
  <c r="D50" i="4"/>
  <c r="C51" i="4"/>
  <c r="D51" i="4"/>
  <c r="C52" i="4"/>
  <c r="D52" i="4"/>
  <c r="C53" i="4"/>
  <c r="D53" i="4"/>
  <c r="C54" i="4"/>
  <c r="D54" i="4"/>
  <c r="C55" i="4"/>
  <c r="D55" i="4"/>
  <c r="C56" i="4"/>
  <c r="D56" i="4"/>
  <c r="C57" i="4"/>
  <c r="D57" i="4"/>
  <c r="C58" i="4"/>
  <c r="D58" i="4"/>
  <c r="C59" i="4"/>
  <c r="D59" i="4"/>
  <c r="C60" i="4"/>
  <c r="D60" i="4"/>
  <c r="C61" i="4"/>
  <c r="D61" i="4"/>
  <c r="C62" i="4"/>
  <c r="D62" i="4"/>
  <c r="C63" i="4"/>
  <c r="D63" i="4"/>
  <c r="C64" i="4"/>
  <c r="D64" i="4"/>
  <c r="C65" i="4"/>
  <c r="D65" i="4"/>
  <c r="C66" i="4"/>
  <c r="D66" i="4"/>
  <c r="C67" i="4"/>
  <c r="D67" i="4"/>
  <c r="C68" i="4"/>
  <c r="D68" i="4"/>
  <c r="C69" i="4"/>
  <c r="D69" i="4"/>
  <c r="C70" i="4"/>
  <c r="D70" i="4"/>
  <c r="C71" i="4"/>
  <c r="D71" i="4"/>
  <c r="C72" i="4"/>
  <c r="D72" i="4"/>
  <c r="C73" i="4"/>
  <c r="D73" i="4"/>
  <c r="C74" i="4"/>
  <c r="D74" i="4"/>
  <c r="C75" i="4"/>
  <c r="D75" i="4"/>
  <c r="C76" i="4"/>
  <c r="D76" i="4"/>
  <c r="C77" i="4"/>
  <c r="D77" i="4"/>
  <c r="C78" i="4"/>
  <c r="D78" i="4"/>
  <c r="C79" i="4"/>
  <c r="D79" i="4"/>
  <c r="C80" i="4"/>
  <c r="D80" i="4"/>
  <c r="C81" i="4"/>
  <c r="D81" i="4"/>
  <c r="C82" i="4"/>
  <c r="D82" i="4"/>
  <c r="C83" i="4"/>
  <c r="D83" i="4"/>
  <c r="C84" i="4"/>
  <c r="D84" i="4"/>
  <c r="C85" i="4"/>
  <c r="D85" i="4"/>
  <c r="C86" i="4"/>
  <c r="D86" i="4"/>
  <c r="C87" i="4"/>
  <c r="D87" i="4"/>
  <c r="C88" i="4"/>
  <c r="D88" i="4"/>
  <c r="C89" i="4"/>
  <c r="D89" i="4"/>
  <c r="C90" i="4"/>
  <c r="D90" i="4"/>
  <c r="C91" i="4"/>
  <c r="D91" i="4"/>
  <c r="C92" i="4"/>
  <c r="D92" i="4"/>
  <c r="C93" i="4"/>
  <c r="D93" i="4"/>
  <c r="C94" i="4"/>
  <c r="D94" i="4"/>
  <c r="C95" i="4"/>
  <c r="D95" i="4"/>
  <c r="C96" i="4"/>
  <c r="D96" i="4"/>
  <c r="C97" i="4"/>
  <c r="D97" i="4"/>
  <c r="C98" i="4"/>
  <c r="D98" i="4"/>
  <c r="C99" i="4"/>
  <c r="D99" i="4"/>
  <c r="C100" i="4"/>
  <c r="D100" i="4"/>
  <c r="C101" i="4"/>
  <c r="D101" i="4"/>
  <c r="C102" i="4"/>
  <c r="D102" i="4"/>
  <c r="C103" i="4"/>
  <c r="D103" i="4"/>
  <c r="C104" i="4"/>
  <c r="D104" i="4"/>
  <c r="C105" i="4"/>
  <c r="D105" i="4"/>
  <c r="C106" i="4"/>
  <c r="D106" i="4"/>
  <c r="C107" i="4"/>
  <c r="D107" i="4"/>
  <c r="C108" i="4"/>
  <c r="D108" i="4"/>
  <c r="C109" i="4"/>
  <c r="D109" i="4"/>
  <c r="C110" i="4"/>
  <c r="D110" i="4"/>
  <c r="C111" i="4"/>
  <c r="D111" i="4"/>
  <c r="C112" i="4"/>
  <c r="D112" i="4"/>
  <c r="C113" i="4"/>
  <c r="D113" i="4"/>
  <c r="C114" i="4"/>
  <c r="D114" i="4"/>
  <c r="C115" i="4"/>
  <c r="D115" i="4"/>
  <c r="C116" i="4"/>
  <c r="D116" i="4"/>
  <c r="C117" i="4"/>
  <c r="D117" i="4"/>
  <c r="C118" i="4"/>
  <c r="D118" i="4"/>
  <c r="C119" i="4"/>
  <c r="D119" i="4"/>
  <c r="C120" i="4"/>
  <c r="D120" i="4"/>
  <c r="C121" i="4"/>
  <c r="D121" i="4"/>
  <c r="D2" i="4"/>
  <c r="C2" i="4"/>
  <c r="A19" i="10"/>
  <c r="B19" i="10" s="1" a="1"/>
  <c r="B19" i="10" s="1"/>
  <c r="C134" i="8"/>
  <c r="E134" i="8"/>
  <c r="C135" i="8"/>
  <c r="E135" i="8"/>
  <c r="C136" i="8"/>
  <c r="E136" i="8"/>
  <c r="C137" i="8"/>
  <c r="E137" i="8"/>
  <c r="C138" i="8"/>
  <c r="E138" i="8"/>
  <c r="C139" i="8"/>
  <c r="E139" i="8"/>
  <c r="C140" i="8"/>
  <c r="E140" i="8"/>
  <c r="C141" i="8"/>
  <c r="E141" i="8"/>
  <c r="C142" i="8"/>
  <c r="E142" i="8"/>
  <c r="C143" i="8"/>
  <c r="E143" i="8"/>
  <c r="C144" i="8"/>
  <c r="E144" i="8"/>
  <c r="C145" i="8"/>
  <c r="E145" i="8"/>
  <c r="B3" i="9"/>
  <c r="B4" i="9" s="1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B3" i="4"/>
  <c r="B4" i="4" s="1"/>
  <c r="B5" i="4" s="1"/>
  <c r="B6" i="4" s="1"/>
  <c r="B7" i="4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E7" i="8"/>
  <c r="E8" i="8"/>
  <c r="E9" i="8"/>
  <c r="E10" i="8"/>
  <c r="E11" i="8"/>
  <c r="E12" i="8"/>
  <c r="E13" i="8"/>
  <c r="E14" i="8"/>
  <c r="E15" i="8"/>
  <c r="E21" i="8"/>
  <c r="E22" i="8"/>
  <c r="E23" i="8"/>
  <c r="E34" i="8"/>
  <c r="E35" i="8"/>
  <c r="E36" i="8"/>
  <c r="E37" i="8"/>
  <c r="E38" i="8"/>
  <c r="E39" i="8"/>
  <c r="E40" i="8"/>
  <c r="E41" i="8"/>
  <c r="E42" i="8"/>
  <c r="E43" i="8"/>
  <c r="E47" i="8"/>
  <c r="E48" i="8"/>
  <c r="E49" i="8"/>
  <c r="E61" i="8"/>
  <c r="E62" i="8"/>
  <c r="E63" i="8"/>
  <c r="E64" i="8"/>
  <c r="E65" i="8"/>
  <c r="E66" i="8"/>
  <c r="E67" i="8"/>
  <c r="E68" i="8"/>
  <c r="E69" i="8"/>
  <c r="E70" i="8"/>
  <c r="E71" i="8"/>
  <c r="E74" i="8"/>
  <c r="E75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14" i="8"/>
  <c r="E115" i="8"/>
  <c r="E116" i="8"/>
  <c r="E117" i="8"/>
  <c r="E118" i="8"/>
  <c r="E119" i="8"/>
  <c r="E120" i="8"/>
  <c r="E121" i="8"/>
  <c r="E125" i="8"/>
  <c r="E126" i="8"/>
  <c r="E127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2" i="8"/>
  <c r="C2" i="2"/>
  <c r="E2" i="8" s="1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E133" i="8" s="1"/>
  <c r="C132" i="2"/>
  <c r="E132" i="8" s="1"/>
  <c r="C131" i="2"/>
  <c r="E131" i="8" s="1"/>
  <c r="C130" i="2"/>
  <c r="E130" i="8" s="1"/>
  <c r="C129" i="2"/>
  <c r="E129" i="8" s="1"/>
  <c r="C128" i="2"/>
  <c r="E128" i="8" s="1"/>
  <c r="C127" i="2"/>
  <c r="C126" i="2"/>
  <c r="C125" i="2"/>
  <c r="C124" i="2"/>
  <c r="E124" i="8" s="1"/>
  <c r="C123" i="2"/>
  <c r="E123" i="8" s="1"/>
  <c r="C122" i="2"/>
  <c r="E122" i="8" s="1"/>
  <c r="C121" i="2"/>
  <c r="C120" i="2"/>
  <c r="C119" i="2"/>
  <c r="C118" i="2"/>
  <c r="C117" i="2"/>
  <c r="C116" i="2"/>
  <c r="C115" i="2"/>
  <c r="C114" i="2"/>
  <c r="C113" i="2"/>
  <c r="E113" i="8" s="1"/>
  <c r="C112" i="2"/>
  <c r="E112" i="8" s="1"/>
  <c r="C111" i="2"/>
  <c r="E111" i="8" s="1"/>
  <c r="C110" i="2"/>
  <c r="E110" i="8" s="1"/>
  <c r="C109" i="2"/>
  <c r="E109" i="8" s="1"/>
  <c r="C108" i="2"/>
  <c r="E108" i="8" s="1"/>
  <c r="C107" i="2"/>
  <c r="E107" i="8" s="1"/>
  <c r="C106" i="2"/>
  <c r="E106" i="8" s="1"/>
  <c r="C105" i="2"/>
  <c r="E105" i="8" s="1"/>
  <c r="C104" i="2"/>
  <c r="E104" i="8" s="1"/>
  <c r="C103" i="2"/>
  <c r="E103" i="8" s="1"/>
  <c r="C102" i="2"/>
  <c r="E102" i="8" s="1"/>
  <c r="C101" i="2"/>
  <c r="E101" i="8" s="1"/>
  <c r="C100" i="2"/>
  <c r="E100" i="8" s="1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E86" i="8" s="1"/>
  <c r="C85" i="2"/>
  <c r="E85" i="8" s="1"/>
  <c r="C84" i="2"/>
  <c r="E84" i="8" s="1"/>
  <c r="C83" i="2"/>
  <c r="E83" i="8" s="1"/>
  <c r="C82" i="2"/>
  <c r="E82" i="8" s="1"/>
  <c r="C81" i="2"/>
  <c r="E81" i="8" s="1"/>
  <c r="C80" i="2"/>
  <c r="E80" i="8" s="1"/>
  <c r="C79" i="2"/>
  <c r="E79" i="8" s="1"/>
  <c r="C78" i="2"/>
  <c r="E78" i="8" s="1"/>
  <c r="C77" i="2"/>
  <c r="E77" i="8" s="1"/>
  <c r="C76" i="2"/>
  <c r="E76" i="8" s="1"/>
  <c r="C75" i="2"/>
  <c r="C74" i="2"/>
  <c r="C73" i="2"/>
  <c r="E73" i="8" s="1"/>
  <c r="C72" i="2"/>
  <c r="E72" i="8" s="1"/>
  <c r="C71" i="2"/>
  <c r="C70" i="2"/>
  <c r="C69" i="2"/>
  <c r="C68" i="2"/>
  <c r="C67" i="2"/>
  <c r="C66" i="2"/>
  <c r="C65" i="2"/>
  <c r="C64" i="2"/>
  <c r="C63" i="2"/>
  <c r="C62" i="2"/>
  <c r="C61" i="2"/>
  <c r="C60" i="2"/>
  <c r="E60" i="8" s="1"/>
  <c r="C59" i="2"/>
  <c r="E59" i="8" s="1"/>
  <c r="C58" i="2"/>
  <c r="E58" i="8" s="1"/>
  <c r="C57" i="2"/>
  <c r="E57" i="8" s="1"/>
  <c r="C56" i="2"/>
  <c r="E56" i="8" s="1"/>
  <c r="C55" i="2"/>
  <c r="E55" i="8" s="1"/>
  <c r="C54" i="2"/>
  <c r="E54" i="8" s="1"/>
  <c r="C53" i="2"/>
  <c r="E53" i="8" s="1"/>
  <c r="C52" i="2"/>
  <c r="E52" i="8" s="1"/>
  <c r="C51" i="2"/>
  <c r="E51" i="8" s="1"/>
  <c r="C50" i="2"/>
  <c r="E50" i="8" s="1"/>
  <c r="C49" i="2"/>
  <c r="C48" i="2"/>
  <c r="C47" i="2"/>
  <c r="C46" i="2"/>
  <c r="E46" i="8" s="1"/>
  <c r="C45" i="2"/>
  <c r="E45" i="8" s="1"/>
  <c r="C44" i="2"/>
  <c r="E44" i="8" s="1"/>
  <c r="C43" i="2"/>
  <c r="C42" i="2"/>
  <c r="C41" i="2"/>
  <c r="C40" i="2"/>
  <c r="C39" i="2"/>
  <c r="C38" i="2"/>
  <c r="C37" i="2"/>
  <c r="C36" i="2"/>
  <c r="C35" i="2"/>
  <c r="C34" i="2"/>
  <c r="C33" i="2"/>
  <c r="E33" i="8" s="1"/>
  <c r="C32" i="2"/>
  <c r="E32" i="8" s="1"/>
  <c r="C31" i="2"/>
  <c r="E31" i="8" s="1"/>
  <c r="C30" i="2"/>
  <c r="E30" i="8" s="1"/>
  <c r="C29" i="2"/>
  <c r="E29" i="8" s="1"/>
  <c r="C28" i="2"/>
  <c r="E28" i="8" s="1"/>
  <c r="C27" i="2"/>
  <c r="E27" i="8" s="1"/>
  <c r="C26" i="2"/>
  <c r="E26" i="8" s="1"/>
  <c r="C25" i="2"/>
  <c r="E25" i="8" s="1"/>
  <c r="C24" i="2"/>
  <c r="E24" i="8" s="1"/>
  <c r="C23" i="2"/>
  <c r="C22" i="2"/>
  <c r="C21" i="2"/>
  <c r="C20" i="2"/>
  <c r="E20" i="8" s="1"/>
  <c r="C19" i="2"/>
  <c r="E19" i="8" s="1"/>
  <c r="C18" i="2"/>
  <c r="E18" i="8" s="1"/>
  <c r="C17" i="2"/>
  <c r="E17" i="8" s="1"/>
  <c r="C16" i="2"/>
  <c r="E16" i="8" s="1"/>
  <c r="C15" i="2"/>
  <c r="C14" i="2"/>
  <c r="C13" i="2"/>
  <c r="C12" i="2"/>
  <c r="C11" i="2"/>
  <c r="C10" i="2"/>
  <c r="C9" i="2"/>
  <c r="C8" i="2"/>
  <c r="C7" i="2"/>
  <c r="C6" i="2"/>
  <c r="E6" i="8" s="1"/>
  <c r="C5" i="2"/>
  <c r="E5" i="8" s="1"/>
  <c r="C4" i="2"/>
  <c r="E4" i="8" s="1"/>
  <c r="C3" i="2"/>
  <c r="E3" i="8" s="1"/>
  <c r="D34" i="10" l="1" a="1"/>
  <c r="D34" i="10" s="1"/>
  <c r="D33" i="10" a="1"/>
  <c r="D33" i="10" s="1"/>
  <c r="D87" i="10" a="1"/>
  <c r="D87" i="10" s="1"/>
  <c r="D31" i="10" a="1"/>
  <c r="D31" i="10" s="1"/>
  <c r="D117" i="10" a="1"/>
  <c r="D117" i="10" s="1"/>
  <c r="C87" i="10" a="1"/>
  <c r="C87" i="10" s="1"/>
  <c r="D128" i="10" a="1"/>
  <c r="D128" i="10" s="1"/>
  <c r="D66" i="10" a="1"/>
  <c r="D66" i="10" s="1"/>
  <c r="D90" i="10" a="1"/>
  <c r="D90" i="10" s="1"/>
  <c r="D103" i="10" a="1"/>
  <c r="D103" i="10" s="1"/>
  <c r="D75" i="10" a="1"/>
  <c r="D75" i="10" s="1"/>
  <c r="D47" i="10" a="1"/>
  <c r="D47" i="10" s="1"/>
  <c r="D53" i="10" a="1"/>
  <c r="D53" i="10" s="1"/>
  <c r="C103" i="10" a="1"/>
  <c r="C103" i="10" s="1"/>
  <c r="C89" i="10" a="1"/>
  <c r="C89" i="10" s="1"/>
  <c r="C75" i="10" a="1"/>
  <c r="C75" i="10" s="1"/>
  <c r="C47" i="10" a="1"/>
  <c r="C47" i="10" s="1"/>
  <c r="D89" i="10" a="1"/>
  <c r="D89" i="10" s="1"/>
  <c r="C19" i="10" a="1"/>
  <c r="C19" i="10" s="1"/>
  <c r="D124" i="10" a="1"/>
  <c r="D124" i="10" s="1"/>
  <c r="D130" i="10" a="1"/>
  <c r="D130" i="10" s="1"/>
  <c r="D102" i="10" a="1"/>
  <c r="D102" i="10" s="1"/>
  <c r="D74" i="10" a="1"/>
  <c r="D74" i="10" s="1"/>
  <c r="D127" i="10" a="1"/>
  <c r="D127" i="10" s="1"/>
  <c r="C127" i="10" a="1"/>
  <c r="C127" i="10" s="1"/>
  <c r="C128" i="10" a="1"/>
  <c r="C128" i="10" s="1"/>
  <c r="B13" i="10" a="1"/>
  <c r="B13" i="10" s="1"/>
  <c r="B5" i="9"/>
  <c r="D4" i="9" a="1"/>
  <c r="D4" i="9" s="1"/>
  <c r="D3" i="9" a="1"/>
  <c r="D3" i="9" s="1"/>
  <c r="C100" i="10" a="1"/>
  <c r="C100" i="10" s="1"/>
  <c r="C72" i="10" a="1"/>
  <c r="C72" i="10" s="1"/>
  <c r="C44" i="10" a="1"/>
  <c r="C44" i="10" s="1"/>
  <c r="C113" i="10" a="1"/>
  <c r="C113" i="10" s="1"/>
  <c r="C71" i="10" a="1"/>
  <c r="C71" i="10" s="1"/>
  <c r="C43" i="10" a="1"/>
  <c r="C43" i="10" s="1"/>
  <c r="D98" i="10" a="1"/>
  <c r="D98" i="10" s="1"/>
  <c r="C98" i="10" a="1"/>
  <c r="C98" i="10" s="1"/>
  <c r="C56" i="10" a="1"/>
  <c r="C56" i="10" s="1"/>
  <c r="D111" i="10" a="1"/>
  <c r="D111" i="10" s="1"/>
  <c r="C125" i="10" a="1"/>
  <c r="C125" i="10" s="1"/>
  <c r="C97" i="10" a="1"/>
  <c r="C97" i="10" s="1"/>
  <c r="C55" i="10" a="1"/>
  <c r="C55" i="10" s="1"/>
  <c r="C68" i="10" a="1"/>
  <c r="C68" i="10" s="1"/>
  <c r="C54" i="10" a="1"/>
  <c r="C54" i="10" s="1"/>
  <c r="C40" i="10" a="1"/>
  <c r="C40" i="10" s="1"/>
  <c r="C26" i="10" a="1"/>
  <c r="C26" i="10" s="1"/>
  <c r="D67" i="10" a="1"/>
  <c r="D67" i="10" s="1"/>
  <c r="C123" i="10" a="1"/>
  <c r="C123" i="10" s="1"/>
  <c r="C108" i="10" a="1"/>
  <c r="C108" i="10" s="1"/>
  <c r="D121" i="10" a="1"/>
  <c r="D121" i="10" s="1"/>
  <c r="D93" i="10" a="1"/>
  <c r="D93" i="10" s="1"/>
  <c r="D37" i="10" a="1"/>
  <c r="D37" i="10" s="1"/>
  <c r="C107" i="10" a="1"/>
  <c r="C107" i="10" s="1"/>
  <c r="C51" i="10" a="1"/>
  <c r="C51" i="10" s="1"/>
  <c r="D134" i="10" a="1"/>
  <c r="D134" i="10" s="1"/>
  <c r="D120" i="10" a="1"/>
  <c r="D120" i="10" s="1"/>
  <c r="D92" i="10" a="1"/>
  <c r="D92" i="10" s="1"/>
  <c r="D64" i="10" a="1"/>
  <c r="D64" i="10" s="1"/>
  <c r="C134" i="10" a="1"/>
  <c r="C134" i="10" s="1"/>
  <c r="C78" i="10" a="1"/>
  <c r="C78" i="10" s="1"/>
  <c r="D133" i="10" a="1"/>
  <c r="D133" i="10" s="1"/>
  <c r="D105" i="10" a="1"/>
  <c r="D105" i="10" s="1"/>
  <c r="D63" i="10" a="1"/>
  <c r="D63" i="10" s="1"/>
  <c r="D35" i="10" a="1"/>
  <c r="D35" i="10" s="1"/>
  <c r="D21" i="10" a="1"/>
  <c r="D21" i="10" s="1"/>
  <c r="C49" i="10" a="1"/>
  <c r="C49" i="10" s="1"/>
  <c r="D132" i="10" a="1"/>
  <c r="D132" i="10" s="1"/>
  <c r="D118" i="10" a="1"/>
  <c r="D118" i="10" s="1"/>
  <c r="D104" i="10" a="1"/>
  <c r="D104" i="10" s="1"/>
  <c r="D62" i="10" a="1"/>
  <c r="D62" i="10" s="1"/>
  <c r="D20" i="10" a="1"/>
  <c r="D20" i="10" s="1"/>
  <c r="C101" i="10" a="1"/>
  <c r="C101" i="10" s="1"/>
  <c r="D100" i="10" a="1"/>
  <c r="D100" i="10" s="1"/>
  <c r="D72" i="10" a="1"/>
  <c r="D72" i="10" s="1"/>
  <c r="C112" i="10" a="1"/>
  <c r="C112" i="10" s="1"/>
  <c r="D19" i="10" a="1"/>
  <c r="D19" i="10" s="1"/>
  <c r="C111" i="10" a="1"/>
  <c r="C111" i="10" s="1"/>
  <c r="C83" i="10" a="1"/>
  <c r="C83" i="10" s="1"/>
  <c r="D40" i="10" a="1"/>
  <c r="D40" i="10" s="1"/>
  <c r="D136" i="10" a="1"/>
  <c r="D136" i="10" s="1"/>
  <c r="D24" i="10" a="1"/>
  <c r="D24" i="10" s="1"/>
  <c r="C94" i="10" a="1"/>
  <c r="C94" i="10" s="1"/>
  <c r="D135" i="10" a="1"/>
  <c r="D135" i="10" s="1"/>
  <c r="D51" i="10" a="1"/>
  <c r="D51" i="10" s="1"/>
  <c r="C135" i="10" a="1"/>
  <c r="C135" i="10" s="1"/>
  <c r="C121" i="10" a="1"/>
  <c r="C121" i="10" s="1"/>
  <c r="C93" i="10" a="1"/>
  <c r="C93" i="10" s="1"/>
  <c r="C37" i="10" a="1"/>
  <c r="C37" i="10" s="1"/>
  <c r="D106" i="10" a="1"/>
  <c r="D106" i="10" s="1"/>
  <c r="C120" i="10" a="1"/>
  <c r="C120" i="10" s="1"/>
  <c r="C106" i="10" a="1"/>
  <c r="C106" i="10" s="1"/>
  <c r="C92" i="10" a="1"/>
  <c r="C92" i="10" s="1"/>
  <c r="C64" i="10" a="1"/>
  <c r="C64" i="10" s="1"/>
  <c r="D77" i="10" a="1"/>
  <c r="D77" i="10" s="1"/>
  <c r="D49" i="10" a="1"/>
  <c r="D49" i="10" s="1"/>
  <c r="C133" i="10" a="1"/>
  <c r="C133" i="10" s="1"/>
  <c r="C105" i="10" a="1"/>
  <c r="C105" i="10" s="1"/>
  <c r="C77" i="10" a="1"/>
  <c r="C77" i="10" s="1"/>
  <c r="C63" i="10" a="1"/>
  <c r="C63" i="10" s="1"/>
  <c r="C35" i="10" a="1"/>
  <c r="C35" i="10" s="1"/>
  <c r="C21" i="10" a="1"/>
  <c r="C21" i="10" s="1"/>
  <c r="D126" i="10" a="1"/>
  <c r="D126" i="10" s="1"/>
  <c r="C118" i="10" a="1"/>
  <c r="C118" i="10" s="1"/>
  <c r="C104" i="10" a="1"/>
  <c r="C104" i="10" s="1"/>
  <c r="C20" i="10" a="1"/>
  <c r="C20" i="10" s="1"/>
  <c r="B23" i="10" a="1"/>
  <c r="B23" i="10" s="1"/>
  <c r="B22" i="10" a="1"/>
  <c r="B22" i="10" s="1"/>
  <c r="C138" i="10" a="1"/>
  <c r="C138" i="10" s="1"/>
  <c r="D99" i="10" a="1"/>
  <c r="D99" i="10" s="1"/>
  <c r="D57" i="10" a="1"/>
  <c r="D57" i="10" s="1"/>
  <c r="B20" i="10" a="1"/>
  <c r="B20" i="10" s="1"/>
  <c r="C50" i="10" a="1"/>
  <c r="C50" i="10" s="1"/>
  <c r="D44" i="10" a="1"/>
  <c r="D44" i="10" s="1"/>
  <c r="D32" i="10" a="1"/>
  <c r="D32" i="10" s="1"/>
  <c r="D68" i="10" a="1"/>
  <c r="D68" i="10" s="1"/>
  <c r="D95" i="10" a="1"/>
  <c r="D95" i="10" s="1"/>
  <c r="D71" i="10" a="1"/>
  <c r="D71" i="10" s="1"/>
  <c r="D65" i="10" a="1"/>
  <c r="D65" i="10" s="1"/>
  <c r="D50" i="10" a="1"/>
  <c r="D50" i="10" s="1"/>
  <c r="D42" i="10" a="1"/>
  <c r="D42" i="10" s="1"/>
  <c r="C39" i="10" a="1"/>
  <c r="C39" i="10" s="1"/>
  <c r="D39" i="10" a="1"/>
  <c r="D39" i="10" s="1"/>
  <c r="D115" i="10" a="1"/>
  <c r="D115" i="10" s="1"/>
  <c r="D138" i="10" a="1"/>
  <c r="D138" i="10" s="1"/>
  <c r="D129" i="10" a="1"/>
  <c r="D129" i="10" s="1"/>
  <c r="C115" i="10" a="1"/>
  <c r="C115" i="10" s="1"/>
  <c r="C81" i="10" a="1"/>
  <c r="C81" i="10" s="1"/>
  <c r="C129" i="10" a="1"/>
  <c r="C129" i="10" s="1"/>
  <c r="D84" i="10" a="1"/>
  <c r="D84" i="10" s="1"/>
  <c r="C84" i="10" a="1"/>
  <c r="C84" i="10" s="1"/>
  <c r="C65" i="10" a="1"/>
  <c r="C65" i="10" s="1"/>
  <c r="C59" i="10" a="1"/>
  <c r="C59" i="10" s="1"/>
  <c r="D59" i="10" a="1"/>
  <c r="D59" i="10" s="1"/>
  <c r="D56" i="10" a="1"/>
  <c r="D56" i="10" s="1"/>
  <c r="C42" i="10" a="1"/>
  <c r="C42" i="10" s="1"/>
  <c r="C30" i="10" a="1"/>
  <c r="C30" i="10" s="1"/>
  <c r="D30" i="10" a="1"/>
  <c r="D30" i="10" s="1"/>
  <c r="D107" i="10" a="1"/>
  <c r="D107" i="10" s="1"/>
  <c r="D81" i="10" a="1"/>
  <c r="D81" i="10" s="1"/>
  <c r="D38" i="10" a="1"/>
  <c r="D38" i="10" s="1"/>
  <c r="D119" i="10" a="1"/>
  <c r="D119" i="10" s="1"/>
  <c r="C86" i="10" a="1"/>
  <c r="C86" i="10" s="1"/>
  <c r="D86" i="10" a="1"/>
  <c r="D86" i="10" s="1"/>
  <c r="D55" i="10" a="1"/>
  <c r="D55" i="10" s="1"/>
  <c r="D29" i="10" a="1"/>
  <c r="D29" i="10" s="1"/>
  <c r="C29" i="10" a="1"/>
  <c r="C29" i="10" s="1"/>
  <c r="C23" i="10" a="1"/>
  <c r="C23" i="10" s="1"/>
  <c r="D23" i="10" a="1"/>
  <c r="D23" i="10" s="1"/>
  <c r="C79" i="10" a="1"/>
  <c r="C79" i="10" s="1"/>
  <c r="D79" i="10" a="1"/>
  <c r="D79" i="10" s="1"/>
  <c r="D112" i="10" a="1"/>
  <c r="D112" i="10" s="1"/>
  <c r="C69" i="10" a="1"/>
  <c r="C69" i="10" s="1"/>
  <c r="D69" i="10" a="1"/>
  <c r="D69" i="10" s="1"/>
  <c r="C116" i="10" a="1"/>
  <c r="C116" i="10" s="1"/>
  <c r="C45" i="10" a="1"/>
  <c r="C45" i="10" s="1"/>
  <c r="D45" i="10" a="1"/>
  <c r="D45" i="10" s="1"/>
  <c r="D91" i="10" a="1"/>
  <c r="D91" i="10" s="1"/>
  <c r="C119" i="10" a="1"/>
  <c r="C119" i="10" s="1"/>
  <c r="C114" i="10" a="1"/>
  <c r="C114" i="10" s="1"/>
  <c r="D114" i="10" a="1"/>
  <c r="D114" i="10" s="1"/>
  <c r="C99" i="10" a="1"/>
  <c r="C99" i="10" s="1"/>
  <c r="C58" i="10" a="1"/>
  <c r="C58" i="10" s="1"/>
  <c r="D58" i="10" a="1"/>
  <c r="D58" i="10" s="1"/>
  <c r="D54" i="10" a="1"/>
  <c r="D54" i="10" s="1"/>
  <c r="C46" i="10" a="1"/>
  <c r="C46" i="10" s="1"/>
  <c r="C22" i="10" a="1"/>
  <c r="C22" i="10" s="1"/>
  <c r="D22" i="10" a="1"/>
  <c r="D22" i="10" s="1"/>
  <c r="C88" i="10" a="1"/>
  <c r="C88" i="10" s="1"/>
  <c r="C82" i="10" a="1"/>
  <c r="C82" i="10" s="1"/>
  <c r="D137" i="10" a="1"/>
  <c r="D137" i="10" s="1"/>
  <c r="C91" i="10" a="1"/>
  <c r="C91" i="10" s="1"/>
  <c r="C32" i="10" a="1"/>
  <c r="C32" i="10" s="1"/>
  <c r="D28" i="10" a="1"/>
  <c r="D28" i="10" s="1"/>
  <c r="C60" i="10" a="1"/>
  <c r="C60" i="10" s="1"/>
  <c r="C73" i="10" a="1"/>
  <c r="C73" i="10" s="1"/>
  <c r="D73" i="10" a="1"/>
  <c r="D73" i="10" s="1"/>
  <c r="D43" i="10" a="1"/>
  <c r="D43" i="10" s="1"/>
  <c r="D103" i="8"/>
  <c r="K97" i="4" s="1"/>
  <c r="D75" i="8"/>
  <c r="Q63" i="4" s="1"/>
  <c r="J80" i="10" s="1" a="1"/>
  <c r="J80" i="10" s="1"/>
  <c r="D47" i="8"/>
  <c r="L40" i="4" s="1"/>
  <c r="D7" i="8"/>
  <c r="J2" i="4" s="1"/>
  <c r="D132" i="8"/>
  <c r="P2" i="9" s="1"/>
  <c r="D63" i="8"/>
  <c r="G61" i="4" s="1"/>
  <c r="D62" i="8"/>
  <c r="G60" i="4" s="1"/>
  <c r="D6" i="8"/>
  <c r="I2" i="4" s="1"/>
  <c r="D89" i="8"/>
  <c r="E89" i="4" s="1"/>
  <c r="D46" i="8"/>
  <c r="E46" i="4" s="1"/>
  <c r="D121" i="8"/>
  <c r="Q109" i="4" s="1"/>
  <c r="J126" i="10" s="1" a="1"/>
  <c r="J126" i="10" s="1"/>
  <c r="D37" i="8"/>
  <c r="Q25" i="4" s="1"/>
  <c r="J42" i="10" s="1" a="1"/>
  <c r="J42" i="10" s="1"/>
  <c r="D9" i="8"/>
  <c r="L2" i="4" s="1"/>
  <c r="D118" i="8"/>
  <c r="D33" i="8"/>
  <c r="K27" i="4" s="1"/>
  <c r="D60" i="8"/>
  <c r="J55" i="4" s="1"/>
  <c r="D138" i="8"/>
  <c r="D107" i="8"/>
  <c r="M99" i="4" s="1"/>
  <c r="D49" i="8"/>
  <c r="D2" i="8"/>
  <c r="E2" i="4" s="1"/>
  <c r="D106" i="8"/>
  <c r="F105" i="4" s="1"/>
  <c r="D78" i="8"/>
  <c r="L71" i="4" s="1"/>
  <c r="D50" i="8"/>
  <c r="K44" i="4" s="1"/>
  <c r="D22" i="8"/>
  <c r="E49" i="4"/>
  <c r="G44" i="4"/>
  <c r="N69" i="4"/>
  <c r="N98" i="4"/>
  <c r="F106" i="4"/>
  <c r="Q95" i="4"/>
  <c r="J112" i="10" s="1" a="1"/>
  <c r="J112" i="10" s="1"/>
  <c r="J101" i="4"/>
  <c r="E106" i="4"/>
  <c r="P39" i="4"/>
  <c r="G73" i="4"/>
  <c r="F32" i="4"/>
  <c r="I42" i="4"/>
  <c r="F45" i="4"/>
  <c r="Q34" i="4"/>
  <c r="J51" i="10" s="1" a="1"/>
  <c r="J51" i="10" s="1"/>
  <c r="K40" i="4"/>
  <c r="N37" i="4"/>
  <c r="M38" i="4"/>
  <c r="E60" i="4"/>
  <c r="B8" i="4"/>
  <c r="B6" i="9" l="1"/>
  <c r="D5" i="9" a="1"/>
  <c r="D5" i="9" s="1"/>
  <c r="B9" i="4"/>
  <c r="B25" i="10" a="1"/>
  <c r="B25" i="10" s="1"/>
  <c r="P35" i="4"/>
  <c r="J116" i="4"/>
  <c r="M81" i="4"/>
  <c r="P22" i="4"/>
  <c r="L68" i="4"/>
  <c r="I5" i="4"/>
  <c r="G35" i="4"/>
  <c r="P26" i="4"/>
  <c r="F36" i="4"/>
  <c r="M25" i="4"/>
  <c r="N38" i="4"/>
  <c r="F59" i="4"/>
  <c r="O79" i="4"/>
  <c r="E37" i="4"/>
  <c r="I102" i="4"/>
  <c r="J70" i="4"/>
  <c r="O52" i="4"/>
  <c r="N53" i="4"/>
  <c r="M67" i="4"/>
  <c r="H100" i="4"/>
  <c r="J98" i="4"/>
  <c r="I3" i="4"/>
  <c r="H4" i="4"/>
  <c r="E78" i="4"/>
  <c r="P67" i="4"/>
  <c r="P36" i="4"/>
  <c r="N41" i="4"/>
  <c r="I103" i="4"/>
  <c r="G101" i="4"/>
  <c r="Q91" i="4"/>
  <c r="J108" i="10" s="1" a="1"/>
  <c r="J108" i="10" s="1"/>
  <c r="E50" i="4"/>
  <c r="L99" i="4"/>
  <c r="K101" i="4"/>
  <c r="Q94" i="4"/>
  <c r="J111" i="10" s="1" a="1"/>
  <c r="J111" i="10" s="1"/>
  <c r="O97" i="4"/>
  <c r="I18" i="4"/>
  <c r="P11" i="4"/>
  <c r="E22" i="4"/>
  <c r="O12" i="4"/>
  <c r="L15" i="4"/>
  <c r="N13" i="4"/>
  <c r="G20" i="4"/>
  <c r="F21" i="4"/>
  <c r="J17" i="4"/>
  <c r="K16" i="4"/>
  <c r="M14" i="4"/>
  <c r="Q10" i="4"/>
  <c r="J27" i="10" s="1" a="1"/>
  <c r="J27" i="10" s="1"/>
  <c r="H19" i="4"/>
  <c r="J113" i="4"/>
  <c r="E118" i="4"/>
  <c r="K112" i="4"/>
  <c r="Q106" i="4"/>
  <c r="J123" i="10" s="1" a="1"/>
  <c r="J123" i="10" s="1"/>
  <c r="G116" i="4"/>
  <c r="F117" i="4"/>
  <c r="N109" i="4"/>
  <c r="L111" i="4"/>
  <c r="I114" i="4"/>
  <c r="M110" i="4"/>
  <c r="O108" i="4"/>
  <c r="H115" i="4"/>
  <c r="P107" i="4"/>
  <c r="Q38" i="4"/>
  <c r="J55" i="10" s="1" a="1"/>
  <c r="J55" i="10" s="1"/>
  <c r="G48" i="4"/>
  <c r="I46" i="4"/>
  <c r="F49" i="4"/>
  <c r="L43" i="4"/>
  <c r="J45" i="4"/>
  <c r="H103" i="4"/>
  <c r="M41" i="4"/>
  <c r="P38" i="4"/>
  <c r="F48" i="4"/>
  <c r="J44" i="4"/>
  <c r="N40" i="4"/>
  <c r="Q37" i="4"/>
  <c r="J54" i="10" s="1" a="1"/>
  <c r="J54" i="10" s="1"/>
  <c r="G47" i="4"/>
  <c r="K43" i="4"/>
  <c r="O39" i="4"/>
  <c r="I45" i="4"/>
  <c r="L42" i="4"/>
  <c r="H47" i="4"/>
  <c r="H57" i="4"/>
  <c r="G58" i="4"/>
  <c r="N51" i="4"/>
  <c r="O50" i="4"/>
  <c r="K54" i="4"/>
  <c r="Q48" i="4"/>
  <c r="J65" i="10" s="1" a="1"/>
  <c r="J65" i="10" s="1"/>
  <c r="P49" i="4"/>
  <c r="I56" i="4"/>
  <c r="M52" i="4"/>
  <c r="L53" i="4"/>
  <c r="G76" i="4"/>
  <c r="J73" i="4"/>
  <c r="K72" i="4"/>
  <c r="O68" i="4"/>
  <c r="M70" i="4"/>
  <c r="H75" i="4"/>
  <c r="F77" i="4"/>
  <c r="I74" i="4"/>
  <c r="M29" i="4"/>
  <c r="P95" i="4"/>
  <c r="O96" i="4"/>
  <c r="K100" i="4"/>
  <c r="N97" i="4"/>
  <c r="M98" i="4"/>
  <c r="P96" i="4"/>
  <c r="L100" i="4"/>
  <c r="H104" i="4"/>
  <c r="E107" i="4"/>
  <c r="G105" i="4"/>
  <c r="O40" i="4"/>
  <c r="O9" i="9"/>
  <c r="N10" i="9"/>
  <c r="K13" i="9"/>
  <c r="L12" i="9"/>
  <c r="M11" i="9"/>
  <c r="P8" i="9"/>
  <c r="G104" i="4"/>
  <c r="H30" i="4"/>
  <c r="N24" i="4"/>
  <c r="J28" i="4"/>
  <c r="L26" i="4"/>
  <c r="G31" i="4"/>
  <c r="O23" i="4"/>
  <c r="E33" i="4"/>
  <c r="I29" i="4"/>
  <c r="Q21" i="4"/>
  <c r="J38" i="10" s="1" a="1"/>
  <c r="J38" i="10" s="1"/>
  <c r="O37" i="4"/>
  <c r="E47" i="4"/>
  <c r="H44" i="4"/>
  <c r="G45" i="4"/>
  <c r="K41" i="4"/>
  <c r="F46" i="4"/>
  <c r="M39" i="4"/>
  <c r="I43" i="4"/>
  <c r="Q35" i="4"/>
  <c r="J52" i="10" s="1" a="1"/>
  <c r="J52" i="10" s="1"/>
  <c r="J42" i="4"/>
  <c r="G7" i="4"/>
  <c r="H6" i="4"/>
  <c r="K3" i="4"/>
  <c r="F8" i="4"/>
  <c r="E9" i="4"/>
  <c r="J4" i="4"/>
  <c r="L30" i="4"/>
  <c r="O27" i="4"/>
  <c r="K31" i="4"/>
  <c r="H34" i="4"/>
  <c r="J32" i="4"/>
  <c r="I33" i="4"/>
  <c r="N28" i="4"/>
  <c r="H86" i="4"/>
  <c r="P78" i="4"/>
  <c r="N80" i="4"/>
  <c r="Q77" i="4"/>
  <c r="J94" i="10" s="1" a="1"/>
  <c r="J94" i="10" s="1"/>
  <c r="I85" i="4"/>
  <c r="G87" i="4"/>
  <c r="J84" i="4"/>
  <c r="L82" i="4"/>
  <c r="H46" i="4"/>
  <c r="F88" i="4"/>
  <c r="K83" i="4"/>
  <c r="H3" i="4"/>
  <c r="F5" i="4"/>
  <c r="E6" i="4"/>
  <c r="G4" i="4"/>
  <c r="P51" i="4"/>
  <c r="I58" i="4"/>
  <c r="E62" i="4"/>
  <c r="Q50" i="4"/>
  <c r="J67" i="10" s="1" a="1"/>
  <c r="J67" i="10" s="1"/>
  <c r="H59" i="4"/>
  <c r="M54" i="4"/>
  <c r="L55" i="4"/>
  <c r="F61" i="4"/>
  <c r="J57" i="4"/>
  <c r="K56" i="4"/>
  <c r="L56" i="4"/>
  <c r="F62" i="4"/>
  <c r="P52" i="4"/>
  <c r="H60" i="4"/>
  <c r="Q51" i="4"/>
  <c r="J68" i="10" s="1" a="1"/>
  <c r="J68" i="10" s="1"/>
  <c r="J58" i="4"/>
  <c r="O53" i="4"/>
  <c r="M55" i="4"/>
  <c r="I59" i="4"/>
  <c r="N54" i="4"/>
  <c r="P121" i="4"/>
  <c r="K7" i="9"/>
  <c r="I9" i="9"/>
  <c r="O3" i="9"/>
  <c r="Q120" i="4"/>
  <c r="J137" i="10" s="1" a="1"/>
  <c r="J137" i="10" s="1"/>
  <c r="G11" i="9"/>
  <c r="F12" i="9"/>
  <c r="E13" i="9"/>
  <c r="L6" i="9"/>
  <c r="M5" i="9"/>
  <c r="H10" i="9"/>
  <c r="J8" i="9"/>
  <c r="N4" i="9"/>
  <c r="J102" i="4"/>
  <c r="E7" i="4"/>
  <c r="F6" i="4"/>
  <c r="G5" i="4"/>
  <c r="E63" i="4"/>
  <c r="Q66" i="4"/>
  <c r="J83" i="10" s="1" a="1"/>
  <c r="J83" i="10" s="1"/>
  <c r="K57" i="4"/>
  <c r="K69" i="4"/>
  <c r="H72" i="4"/>
  <c r="O65" i="4"/>
  <c r="N66" i="4"/>
  <c r="F74" i="4"/>
  <c r="P64" i="4"/>
  <c r="E75" i="4"/>
  <c r="I71" i="4"/>
  <c r="M42" i="4"/>
  <c r="L114" i="4"/>
  <c r="O111" i="4"/>
  <c r="H118" i="4"/>
  <c r="E121" i="4"/>
  <c r="G119" i="4"/>
  <c r="E2" i="9"/>
  <c r="O36" i="4"/>
  <c r="J41" i="4"/>
  <c r="H43" i="4"/>
  <c r="K115" i="4"/>
  <c r="D20" i="8"/>
  <c r="L39" i="4"/>
  <c r="I117" i="4"/>
  <c r="D21" i="8"/>
  <c r="F120" i="4"/>
  <c r="D130" i="8"/>
  <c r="N112" i="4"/>
  <c r="D104" i="8"/>
  <c r="M113" i="4"/>
  <c r="D4" i="8"/>
  <c r="H12" i="9"/>
  <c r="G13" i="9"/>
  <c r="M7" i="9"/>
  <c r="P4" i="9"/>
  <c r="K9" i="9"/>
  <c r="J10" i="9"/>
  <c r="N6" i="9"/>
  <c r="O5" i="9"/>
  <c r="L8" i="9"/>
  <c r="I11" i="9"/>
  <c r="D76" i="8"/>
  <c r="P110" i="4"/>
  <c r="D23" i="8"/>
  <c r="D144" i="8"/>
  <c r="D67" i="8"/>
  <c r="D134" i="8"/>
  <c r="D95" i="8"/>
  <c r="D96" i="8"/>
  <c r="D10" i="8"/>
  <c r="D136" i="8"/>
  <c r="D39" i="8"/>
  <c r="D123" i="8"/>
  <c r="D40" i="8"/>
  <c r="D124" i="8"/>
  <c r="D42" i="8"/>
  <c r="D11" i="8"/>
  <c r="D68" i="8"/>
  <c r="D13" i="8"/>
  <c r="D70" i="8"/>
  <c r="D126" i="8"/>
  <c r="D38" i="8"/>
  <c r="D66" i="8"/>
  <c r="D94" i="8"/>
  <c r="D122" i="8"/>
  <c r="D12" i="8"/>
  <c r="D41" i="8"/>
  <c r="D69" i="8"/>
  <c r="D97" i="8"/>
  <c r="D125" i="8"/>
  <c r="D137" i="8"/>
  <c r="D14" i="8"/>
  <c r="D98" i="8"/>
  <c r="D139" i="8"/>
  <c r="D140" i="8"/>
  <c r="D24" i="8"/>
  <c r="D52" i="8"/>
  <c r="D80" i="8"/>
  <c r="D108" i="8"/>
  <c r="D141" i="8"/>
  <c r="D25" i="8"/>
  <c r="D15" i="8"/>
  <c r="D87" i="8"/>
  <c r="D110" i="8"/>
  <c r="D29" i="8"/>
  <c r="D112" i="8"/>
  <c r="D113" i="8"/>
  <c r="D127" i="8"/>
  <c r="D16" i="8"/>
  <c r="D99" i="8"/>
  <c r="D101" i="8"/>
  <c r="D27" i="8"/>
  <c r="D109" i="8"/>
  <c r="D28" i="8"/>
  <c r="D111" i="8"/>
  <c r="D114" i="8"/>
  <c r="D45" i="8"/>
  <c r="D128" i="8"/>
  <c r="D17" i="8"/>
  <c r="D100" i="8"/>
  <c r="D26" i="8"/>
  <c r="D30" i="8"/>
  <c r="D31" i="8"/>
  <c r="D44" i="8"/>
  <c r="D129" i="8"/>
  <c r="D55" i="8"/>
  <c r="D56" i="8"/>
  <c r="D71" i="8"/>
  <c r="D81" i="8"/>
  <c r="D3" i="8"/>
  <c r="D86" i="8"/>
  <c r="D83" i="8"/>
  <c r="D53" i="8"/>
  <c r="D54" i="8"/>
  <c r="D57" i="8"/>
  <c r="D142" i="8"/>
  <c r="D58" i="8"/>
  <c r="D59" i="8"/>
  <c r="D72" i="8"/>
  <c r="D82" i="8"/>
  <c r="D84" i="8"/>
  <c r="D85" i="8"/>
  <c r="D43" i="8"/>
  <c r="D115" i="8"/>
  <c r="D73" i="8"/>
  <c r="D105" i="8"/>
  <c r="D90" i="8"/>
  <c r="D77" i="8"/>
  <c r="D91" i="8"/>
  <c r="D61" i="8"/>
  <c r="D19" i="8"/>
  <c r="D64" i="8"/>
  <c r="D18" i="8"/>
  <c r="D143" i="8"/>
  <c r="P13" i="9" s="1"/>
  <c r="D102" i="8"/>
  <c r="D36" i="8"/>
  <c r="D8" i="8"/>
  <c r="D135" i="8"/>
  <c r="D34" i="8"/>
  <c r="D93" i="8"/>
  <c r="D117" i="8"/>
  <c r="D65" i="8"/>
  <c r="D32" i="8"/>
  <c r="D120" i="8"/>
  <c r="D133" i="8"/>
  <c r="D92" i="8"/>
  <c r="D48" i="8"/>
  <c r="D119" i="8"/>
  <c r="D74" i="8"/>
  <c r="D35" i="8"/>
  <c r="D145" i="8"/>
  <c r="D88" i="8"/>
  <c r="D131" i="8"/>
  <c r="D51" i="8"/>
  <c r="D116" i="8"/>
  <c r="F102" i="4"/>
  <c r="I99" i="4"/>
  <c r="N94" i="4"/>
  <c r="P92" i="4"/>
  <c r="M95" i="4"/>
  <c r="E103" i="4"/>
  <c r="L96" i="4"/>
  <c r="O93" i="4"/>
  <c r="D79" i="8"/>
  <c r="D5" i="8"/>
  <c r="B7" i="9" l="1"/>
  <c r="D6" i="9" a="1"/>
  <c r="D6" i="9" s="1"/>
  <c r="B10" i="4"/>
  <c r="B26" i="10" a="1"/>
  <c r="B26" i="10" s="1"/>
  <c r="B16" i="10" a="1"/>
  <c r="B16" i="10" s="1"/>
  <c r="K63" i="4"/>
  <c r="J64" i="4"/>
  <c r="P58" i="4"/>
  <c r="N60" i="4"/>
  <c r="F68" i="4"/>
  <c r="H66" i="4"/>
  <c r="I65" i="4"/>
  <c r="O59" i="4"/>
  <c r="E69" i="4"/>
  <c r="Q57" i="4"/>
  <c r="J74" i="10" s="1" a="1"/>
  <c r="J74" i="10" s="1"/>
  <c r="L62" i="4"/>
  <c r="G67" i="4"/>
  <c r="M61" i="4"/>
  <c r="M7" i="4"/>
  <c r="O5" i="4"/>
  <c r="P4" i="4"/>
  <c r="E15" i="4"/>
  <c r="I11" i="4"/>
  <c r="Q3" i="4"/>
  <c r="J20" i="10" s="1" a="1"/>
  <c r="J20" i="10" s="1"/>
  <c r="H12" i="4"/>
  <c r="K9" i="4"/>
  <c r="F14" i="4"/>
  <c r="L8" i="4"/>
  <c r="N6" i="4"/>
  <c r="J10" i="4"/>
  <c r="G13" i="4"/>
  <c r="F7" i="4"/>
  <c r="K2" i="4"/>
  <c r="I4" i="4"/>
  <c r="G6" i="4"/>
  <c r="J3" i="4"/>
  <c r="E8" i="4"/>
  <c r="H5" i="4"/>
  <c r="H120" i="4"/>
  <c r="M115" i="4"/>
  <c r="L116" i="4"/>
  <c r="F3" i="9"/>
  <c r="K117" i="4"/>
  <c r="G2" i="9"/>
  <c r="O113" i="4"/>
  <c r="N114" i="4"/>
  <c r="G121" i="4"/>
  <c r="P112" i="4"/>
  <c r="Q111" i="4"/>
  <c r="J128" i="10" s="1" a="1"/>
  <c r="J128" i="10" s="1"/>
  <c r="J118" i="4"/>
  <c r="E4" i="9"/>
  <c r="I119" i="4"/>
  <c r="Q96" i="4"/>
  <c r="J113" i="10" s="1" a="1"/>
  <c r="J113" i="10" s="1"/>
  <c r="P97" i="4"/>
  <c r="I104" i="4"/>
  <c r="J103" i="4"/>
  <c r="E108" i="4"/>
  <c r="L101" i="4"/>
  <c r="G106" i="4"/>
  <c r="O98" i="4"/>
  <c r="M100" i="4"/>
  <c r="F107" i="4"/>
  <c r="K102" i="4"/>
  <c r="H105" i="4"/>
  <c r="N99" i="4"/>
  <c r="N120" i="4"/>
  <c r="H7" i="9"/>
  <c r="Q117" i="4"/>
  <c r="J134" i="10" s="1" a="1"/>
  <c r="J134" i="10" s="1"/>
  <c r="E10" i="9"/>
  <c r="J5" i="9"/>
  <c r="F9" i="9"/>
  <c r="M2" i="9"/>
  <c r="K4" i="9"/>
  <c r="L3" i="9"/>
  <c r="I6" i="9"/>
  <c r="P118" i="4"/>
  <c r="O119" i="4"/>
  <c r="M121" i="4"/>
  <c r="G8" i="9"/>
  <c r="J15" i="4"/>
  <c r="N11" i="4"/>
  <c r="O10" i="4"/>
  <c r="K14" i="4"/>
  <c r="Q8" i="4"/>
  <c r="J25" i="10" s="1" a="1"/>
  <c r="J25" i="10" s="1"/>
  <c r="E20" i="4"/>
  <c r="F19" i="4"/>
  <c r="I16" i="4"/>
  <c r="L13" i="4"/>
  <c r="P9" i="4"/>
  <c r="H17" i="4"/>
  <c r="G18" i="4"/>
  <c r="M12" i="4"/>
  <c r="G62" i="4"/>
  <c r="L57" i="4"/>
  <c r="E64" i="4"/>
  <c r="O54" i="4"/>
  <c r="K58" i="4"/>
  <c r="Q52" i="4"/>
  <c r="J69" i="10" s="1" a="1"/>
  <c r="J69" i="10" s="1"/>
  <c r="J59" i="4"/>
  <c r="I60" i="4"/>
  <c r="F63" i="4"/>
  <c r="H61" i="4"/>
  <c r="P53" i="4"/>
  <c r="M56" i="4"/>
  <c r="N55" i="4"/>
  <c r="J19" i="4"/>
  <c r="O14" i="4"/>
  <c r="I20" i="4"/>
  <c r="H21" i="4"/>
  <c r="Q12" i="4"/>
  <c r="J29" i="10" s="1" a="1"/>
  <c r="J29" i="10" s="1"/>
  <c r="G22" i="4"/>
  <c r="M16" i="4"/>
  <c r="F23" i="4"/>
  <c r="E24" i="4"/>
  <c r="K18" i="4"/>
  <c r="P13" i="4"/>
  <c r="L17" i="4"/>
  <c r="N15" i="4"/>
  <c r="I57" i="4"/>
  <c r="H58" i="4"/>
  <c r="O51" i="4"/>
  <c r="E61" i="4"/>
  <c r="K55" i="4"/>
  <c r="M53" i="4"/>
  <c r="P50" i="4"/>
  <c r="G59" i="4"/>
  <c r="L54" i="4"/>
  <c r="F60" i="4"/>
  <c r="N52" i="4"/>
  <c r="J56" i="4"/>
  <c r="Q49" i="4"/>
  <c r="J66" i="10" s="1" a="1"/>
  <c r="J66" i="10" s="1"/>
  <c r="L13" i="9"/>
  <c r="M12" i="9"/>
  <c r="O10" i="9"/>
  <c r="N11" i="9"/>
  <c r="P9" i="9"/>
  <c r="K61" i="4"/>
  <c r="Q55" i="4"/>
  <c r="J72" i="10" s="1" a="1"/>
  <c r="J72" i="10" s="1"/>
  <c r="P56" i="4"/>
  <c r="L60" i="4"/>
  <c r="G65" i="4"/>
  <c r="F66" i="4"/>
  <c r="E67" i="4"/>
  <c r="J62" i="4"/>
  <c r="M59" i="4"/>
  <c r="I63" i="4"/>
  <c r="N58" i="4"/>
  <c r="O57" i="4"/>
  <c r="H64" i="4"/>
  <c r="K20" i="4"/>
  <c r="H23" i="4"/>
  <c r="P15" i="4"/>
  <c r="J21" i="4"/>
  <c r="Q14" i="4"/>
  <c r="J31" i="10" s="1" a="1"/>
  <c r="J31" i="10" s="1"/>
  <c r="E26" i="4"/>
  <c r="G24" i="4"/>
  <c r="M18" i="4"/>
  <c r="F25" i="4"/>
  <c r="L19" i="4"/>
  <c r="I22" i="4"/>
  <c r="O16" i="4"/>
  <c r="N17" i="4"/>
  <c r="K17" i="4"/>
  <c r="M15" i="4"/>
  <c r="E23" i="4"/>
  <c r="N14" i="4"/>
  <c r="I19" i="4"/>
  <c r="O13" i="4"/>
  <c r="L16" i="4"/>
  <c r="F22" i="4"/>
  <c r="P12" i="4"/>
  <c r="H20" i="4"/>
  <c r="Q11" i="4"/>
  <c r="J28" i="10" s="1" a="1"/>
  <c r="J28" i="10" s="1"/>
  <c r="G21" i="4"/>
  <c r="J18" i="4"/>
  <c r="I41" i="4"/>
  <c r="G43" i="4"/>
  <c r="J40" i="4"/>
  <c r="O35" i="4"/>
  <c r="E45" i="4"/>
  <c r="M37" i="4"/>
  <c r="L38" i="4"/>
  <c r="P34" i="4"/>
  <c r="K39" i="4"/>
  <c r="F44" i="4"/>
  <c r="Q33" i="4"/>
  <c r="J50" i="10" s="1" a="1"/>
  <c r="J50" i="10" s="1"/>
  <c r="N36" i="4"/>
  <c r="H42" i="4"/>
  <c r="H121" i="4"/>
  <c r="E5" i="9"/>
  <c r="H2" i="9"/>
  <c r="E16" i="10" s="1" a="1"/>
  <c r="E16" i="10" s="1"/>
  <c r="G3" i="9"/>
  <c r="J119" i="4"/>
  <c r="O114" i="4"/>
  <c r="L117" i="4"/>
  <c r="I120" i="4"/>
  <c r="M116" i="4"/>
  <c r="F4" i="9"/>
  <c r="K118" i="4"/>
  <c r="P113" i="4"/>
  <c r="Q112" i="4"/>
  <c r="J129" i="10" s="1" a="1"/>
  <c r="J129" i="10" s="1"/>
  <c r="N115" i="4"/>
  <c r="H13" i="9"/>
  <c r="I12" i="9"/>
  <c r="N7" i="9"/>
  <c r="K10" i="9"/>
  <c r="P5" i="9"/>
  <c r="O6" i="9"/>
  <c r="L9" i="9"/>
  <c r="M8" i="9"/>
  <c r="J11" i="9"/>
  <c r="P14" i="4"/>
  <c r="I21" i="4"/>
  <c r="N16" i="4"/>
  <c r="H22" i="4"/>
  <c r="L18" i="4"/>
  <c r="K19" i="4"/>
  <c r="Q13" i="4"/>
  <c r="J30" i="10" s="1" a="1"/>
  <c r="J30" i="10" s="1"/>
  <c r="J20" i="4"/>
  <c r="E25" i="4"/>
  <c r="O15" i="4"/>
  <c r="M17" i="4"/>
  <c r="F24" i="4"/>
  <c r="G23" i="4"/>
  <c r="N27" i="4"/>
  <c r="J31" i="4"/>
  <c r="K30" i="4"/>
  <c r="P25" i="4"/>
  <c r="I32" i="4"/>
  <c r="M28" i="4"/>
  <c r="Q24" i="4"/>
  <c r="J41" i="10" s="1" a="1"/>
  <c r="J41" i="10" s="1"/>
  <c r="L29" i="4"/>
  <c r="E36" i="4"/>
  <c r="O26" i="4"/>
  <c r="G34" i="4"/>
  <c r="F35" i="4"/>
  <c r="H33" i="4"/>
  <c r="M63" i="4"/>
  <c r="G69" i="4"/>
  <c r="L64" i="4"/>
  <c r="P60" i="4"/>
  <c r="I67" i="4"/>
  <c r="O61" i="4"/>
  <c r="N62" i="4"/>
  <c r="H68" i="4"/>
  <c r="J66" i="4"/>
  <c r="E71" i="4"/>
  <c r="Q59" i="4"/>
  <c r="J76" i="10" s="1" a="1"/>
  <c r="J76" i="10" s="1"/>
  <c r="K65" i="4"/>
  <c r="F70" i="4"/>
  <c r="N13" i="9"/>
  <c r="O12" i="9"/>
  <c r="P11" i="9"/>
  <c r="J34" i="4"/>
  <c r="K33" i="4"/>
  <c r="O29" i="4"/>
  <c r="F38" i="4"/>
  <c r="M31" i="4"/>
  <c r="E39" i="4"/>
  <c r="Q27" i="4"/>
  <c r="J44" i="10" s="1" a="1"/>
  <c r="J44" i="10" s="1"/>
  <c r="G37" i="4"/>
  <c r="H36" i="4"/>
  <c r="N30" i="4"/>
  <c r="P28" i="4"/>
  <c r="I35" i="4"/>
  <c r="L32" i="4"/>
  <c r="E102" i="4"/>
  <c r="H99" i="4"/>
  <c r="I98" i="4"/>
  <c r="O92" i="4"/>
  <c r="G100" i="4"/>
  <c r="N93" i="4"/>
  <c r="M94" i="4"/>
  <c r="Q90" i="4"/>
  <c r="J107" i="10" s="1" a="1"/>
  <c r="J107" i="10" s="1"/>
  <c r="P91" i="4"/>
  <c r="L95" i="4"/>
  <c r="J97" i="4"/>
  <c r="K96" i="4"/>
  <c r="F101" i="4"/>
  <c r="F54" i="4"/>
  <c r="J50" i="4"/>
  <c r="H52" i="4"/>
  <c r="L48" i="4"/>
  <c r="Q43" i="4"/>
  <c r="J60" i="10" s="1" a="1"/>
  <c r="J60" i="10" s="1"/>
  <c r="E55" i="4"/>
  <c r="G53" i="4"/>
  <c r="P44" i="4"/>
  <c r="K49" i="4"/>
  <c r="M47" i="4"/>
  <c r="O45" i="4"/>
  <c r="N46" i="4"/>
  <c r="I51" i="4"/>
  <c r="L3" i="4"/>
  <c r="H7" i="4"/>
  <c r="J5" i="4"/>
  <c r="M2" i="4"/>
  <c r="G8" i="4"/>
  <c r="I6" i="4"/>
  <c r="F9" i="4"/>
  <c r="K4" i="4"/>
  <c r="E10" i="4"/>
  <c r="G16" i="4"/>
  <c r="P7" i="4"/>
  <c r="F17" i="4"/>
  <c r="K12" i="4"/>
  <c r="O8" i="4"/>
  <c r="E18" i="4"/>
  <c r="N9" i="4"/>
  <c r="M10" i="4"/>
  <c r="J13" i="4"/>
  <c r="L11" i="4"/>
  <c r="I14" i="4"/>
  <c r="H15" i="4"/>
  <c r="Q6" i="4"/>
  <c r="J23" i="10" s="1" a="1"/>
  <c r="J23" i="10" s="1"/>
  <c r="L89" i="4"/>
  <c r="N87" i="4"/>
  <c r="M88" i="4"/>
  <c r="G94" i="4"/>
  <c r="F95" i="4"/>
  <c r="I92" i="4"/>
  <c r="K90" i="4"/>
  <c r="E96" i="4"/>
  <c r="O86" i="4"/>
  <c r="H93" i="4"/>
  <c r="J91" i="4"/>
  <c r="Q84" i="4"/>
  <c r="J101" i="10" s="1" a="1"/>
  <c r="J101" i="10" s="1"/>
  <c r="P85" i="4"/>
  <c r="J39" i="4"/>
  <c r="P33" i="4"/>
  <c r="O34" i="4"/>
  <c r="I40" i="4"/>
  <c r="H41" i="4"/>
  <c r="G42" i="4"/>
  <c r="F43" i="4"/>
  <c r="E44" i="4"/>
  <c r="K38" i="4"/>
  <c r="L37" i="4"/>
  <c r="Q32" i="4"/>
  <c r="J49" i="10" s="1" a="1"/>
  <c r="J49" i="10" s="1"/>
  <c r="N35" i="4"/>
  <c r="M36" i="4"/>
  <c r="I91" i="4"/>
  <c r="H92" i="4"/>
  <c r="G93" i="4"/>
  <c r="P84" i="4"/>
  <c r="F94" i="4"/>
  <c r="K89" i="4"/>
  <c r="Q83" i="4"/>
  <c r="J100" i="10" s="1" a="1"/>
  <c r="J100" i="10" s="1"/>
  <c r="J90" i="4"/>
  <c r="L88" i="4"/>
  <c r="E95" i="4"/>
  <c r="N86" i="4"/>
  <c r="M87" i="4"/>
  <c r="O85" i="4"/>
  <c r="Q7" i="4"/>
  <c r="J24" i="10" s="1" a="1"/>
  <c r="J24" i="10" s="1"/>
  <c r="K13" i="4"/>
  <c r="P8" i="4"/>
  <c r="M11" i="4"/>
  <c r="I15" i="4"/>
  <c r="J14" i="4"/>
  <c r="O9" i="4"/>
  <c r="E19" i="4"/>
  <c r="H16" i="4"/>
  <c r="G17" i="4"/>
  <c r="N10" i="4"/>
  <c r="L12" i="4"/>
  <c r="F18" i="4"/>
  <c r="L23" i="4"/>
  <c r="J25" i="4"/>
  <c r="I26" i="4"/>
  <c r="O20" i="4"/>
  <c r="K24" i="4"/>
  <c r="G28" i="4"/>
  <c r="H27" i="4"/>
  <c r="E30" i="4"/>
  <c r="N21" i="4"/>
  <c r="P19" i="4"/>
  <c r="Q18" i="4"/>
  <c r="J35" i="10" s="1" a="1"/>
  <c r="J35" i="10" s="1"/>
  <c r="M22" i="4"/>
  <c r="F29" i="4"/>
  <c r="M92" i="4"/>
  <c r="H97" i="4"/>
  <c r="J95" i="4"/>
  <c r="F99" i="4"/>
  <c r="Q88" i="4"/>
  <c r="J105" i="10" s="1" a="1"/>
  <c r="J105" i="10" s="1"/>
  <c r="N91" i="4"/>
  <c r="L93" i="4"/>
  <c r="P89" i="4"/>
  <c r="I96" i="4"/>
  <c r="O90" i="4"/>
  <c r="E100" i="4"/>
  <c r="K94" i="4"/>
  <c r="G98" i="4"/>
  <c r="I69" i="4"/>
  <c r="G71" i="4"/>
  <c r="E73" i="4"/>
  <c r="M65" i="4"/>
  <c r="F72" i="4"/>
  <c r="Q61" i="4"/>
  <c r="J78" i="10" s="1" a="1"/>
  <c r="J78" i="10" s="1"/>
  <c r="N64" i="4"/>
  <c r="L66" i="4"/>
  <c r="K67" i="4"/>
  <c r="J68" i="4"/>
  <c r="P62" i="4"/>
  <c r="H70" i="4"/>
  <c r="O63" i="4"/>
  <c r="F33" i="4"/>
  <c r="K28" i="4"/>
  <c r="P23" i="4"/>
  <c r="I30" i="4"/>
  <c r="O24" i="4"/>
  <c r="M26" i="4"/>
  <c r="E34" i="4"/>
  <c r="H31" i="4"/>
  <c r="Q22" i="4"/>
  <c r="J39" i="10" s="1" a="1"/>
  <c r="J39" i="10" s="1"/>
  <c r="N25" i="4"/>
  <c r="L27" i="4"/>
  <c r="G32" i="4"/>
  <c r="J29" i="4"/>
  <c r="E86" i="4"/>
  <c r="Q74" i="4"/>
  <c r="J91" i="10" s="1" a="1"/>
  <c r="J91" i="10" s="1"/>
  <c r="L79" i="4"/>
  <c r="J81" i="4"/>
  <c r="P75" i="4"/>
  <c r="I82" i="4"/>
  <c r="M78" i="4"/>
  <c r="G84" i="4"/>
  <c r="K80" i="4"/>
  <c r="O76" i="4"/>
  <c r="H83" i="4"/>
  <c r="F85" i="4"/>
  <c r="N77" i="4"/>
  <c r="J82" i="4"/>
  <c r="M79" i="4"/>
  <c r="F86" i="4"/>
  <c r="I83" i="4"/>
  <c r="G85" i="4"/>
  <c r="E87" i="4"/>
  <c r="O77" i="4"/>
  <c r="H84" i="4"/>
  <c r="P76" i="4"/>
  <c r="L80" i="4"/>
  <c r="K81" i="4"/>
  <c r="N78" i="4"/>
  <c r="Q75" i="4"/>
  <c r="J92" i="10" s="1" a="1"/>
  <c r="J92" i="10" s="1"/>
  <c r="E3" i="4"/>
  <c r="F2" i="4"/>
  <c r="J35" i="4"/>
  <c r="K34" i="4"/>
  <c r="N31" i="4"/>
  <c r="F39" i="4"/>
  <c r="H37" i="4"/>
  <c r="G38" i="4"/>
  <c r="M32" i="4"/>
  <c r="E40" i="4"/>
  <c r="O30" i="4"/>
  <c r="P29" i="4"/>
  <c r="I36" i="4"/>
  <c r="Q28" i="4"/>
  <c r="J45" i="10" s="1" a="1"/>
  <c r="J45" i="10" s="1"/>
  <c r="L33" i="4"/>
  <c r="I7" i="9"/>
  <c r="P119" i="4"/>
  <c r="F10" i="9"/>
  <c r="J6" i="9"/>
  <c r="E11" i="9"/>
  <c r="L4" i="9"/>
  <c r="O120" i="4"/>
  <c r="G9" i="9"/>
  <c r="Q118" i="4"/>
  <c r="J135" i="10" s="1" a="1"/>
  <c r="J135" i="10" s="1"/>
  <c r="N2" i="9"/>
  <c r="K16" i="10" s="1" a="1"/>
  <c r="K16" i="10" s="1"/>
  <c r="H8" i="9"/>
  <c r="N121" i="4"/>
  <c r="K5" i="9"/>
  <c r="M3" i="9"/>
  <c r="G3" i="4"/>
  <c r="H2" i="4"/>
  <c r="E5" i="4"/>
  <c r="F4" i="4"/>
  <c r="E81" i="4"/>
  <c r="K75" i="4"/>
  <c r="J76" i="4"/>
  <c r="I77" i="4"/>
  <c r="N72" i="4"/>
  <c r="F80" i="4"/>
  <c r="H78" i="4"/>
  <c r="P70" i="4"/>
  <c r="Q69" i="4"/>
  <c r="J86" i="10" s="1" a="1"/>
  <c r="J86" i="10" s="1"/>
  <c r="M73" i="4"/>
  <c r="O71" i="4"/>
  <c r="G79" i="4"/>
  <c r="L74" i="4"/>
  <c r="G77" i="4"/>
  <c r="K73" i="4"/>
  <c r="L72" i="4"/>
  <c r="M71" i="4"/>
  <c r="H76" i="4"/>
  <c r="P68" i="4"/>
  <c r="J74" i="4"/>
  <c r="O69" i="4"/>
  <c r="E79" i="4"/>
  <c r="I75" i="4"/>
  <c r="Q67" i="4"/>
  <c r="J84" i="10" s="1" a="1"/>
  <c r="J84" i="10" s="1"/>
  <c r="F78" i="4"/>
  <c r="N70" i="4"/>
  <c r="M13" i="4"/>
  <c r="K15" i="4"/>
  <c r="G19" i="4"/>
  <c r="J16" i="4"/>
  <c r="I17" i="4"/>
  <c r="O11" i="4"/>
  <c r="Q9" i="4"/>
  <c r="J26" i="10" s="1" a="1"/>
  <c r="J26" i="10" s="1"/>
  <c r="H18" i="4"/>
  <c r="N12" i="4"/>
  <c r="F20" i="4"/>
  <c r="P10" i="4"/>
  <c r="E21" i="4"/>
  <c r="L14" i="4"/>
  <c r="O46" i="4"/>
  <c r="F55" i="4"/>
  <c r="H53" i="4"/>
  <c r="I52" i="4"/>
  <c r="E56" i="4"/>
  <c r="N47" i="4"/>
  <c r="P45" i="4"/>
  <c r="Q44" i="4"/>
  <c r="J61" i="10" s="1" a="1"/>
  <c r="J61" i="10" s="1"/>
  <c r="J51" i="4"/>
  <c r="K50" i="4"/>
  <c r="G54" i="4"/>
  <c r="L49" i="4"/>
  <c r="M48" i="4"/>
  <c r="M9" i="9"/>
  <c r="L10" i="9"/>
  <c r="J12" i="9"/>
  <c r="O7" i="9"/>
  <c r="I13" i="9"/>
  <c r="N8" i="9"/>
  <c r="K11" i="9"/>
  <c r="P6" i="9"/>
  <c r="P69" i="4"/>
  <c r="L73" i="4"/>
  <c r="E80" i="4"/>
  <c r="M72" i="4"/>
  <c r="F79" i="4"/>
  <c r="G78" i="4"/>
  <c r="Q68" i="4"/>
  <c r="J85" i="10" s="1" a="1"/>
  <c r="J85" i="10" s="1"/>
  <c r="H77" i="4"/>
  <c r="K74" i="4"/>
  <c r="I76" i="4"/>
  <c r="N71" i="4"/>
  <c r="J75" i="4"/>
  <c r="O70" i="4"/>
  <c r="H49" i="4"/>
  <c r="O42" i="4"/>
  <c r="N43" i="4"/>
  <c r="I48" i="4"/>
  <c r="Q40" i="4"/>
  <c r="J57" i="10" s="1" a="1"/>
  <c r="J57" i="10" s="1"/>
  <c r="J47" i="4"/>
  <c r="F51" i="4"/>
  <c r="E52" i="4"/>
  <c r="G50" i="4"/>
  <c r="K46" i="4"/>
  <c r="L45" i="4"/>
  <c r="M44" i="4"/>
  <c r="P41" i="4"/>
  <c r="M23" i="4"/>
  <c r="E31" i="4"/>
  <c r="K25" i="4"/>
  <c r="P20" i="4"/>
  <c r="I27" i="4"/>
  <c r="J26" i="4"/>
  <c r="H28" i="4"/>
  <c r="Q19" i="4"/>
  <c r="J36" i="10" s="1" a="1"/>
  <c r="J36" i="10" s="1"/>
  <c r="N22" i="4"/>
  <c r="F30" i="4"/>
  <c r="O21" i="4"/>
  <c r="G29" i="4"/>
  <c r="L24" i="4"/>
  <c r="M13" i="9"/>
  <c r="O11" i="9"/>
  <c r="N12" i="9"/>
  <c r="P10" i="9"/>
  <c r="P80" i="4"/>
  <c r="F90" i="4"/>
  <c r="K85" i="4"/>
  <c r="J86" i="4"/>
  <c r="N82" i="4"/>
  <c r="E91" i="4"/>
  <c r="Q79" i="4"/>
  <c r="J96" i="10" s="1" a="1"/>
  <c r="J96" i="10" s="1"/>
  <c r="H88" i="4"/>
  <c r="M83" i="4"/>
  <c r="L84" i="4"/>
  <c r="O81" i="4"/>
  <c r="G89" i="4"/>
  <c r="I87" i="4"/>
  <c r="F97" i="4"/>
  <c r="M90" i="4"/>
  <c r="O88" i="4"/>
  <c r="J93" i="4"/>
  <c r="E98" i="4"/>
  <c r="N89" i="4"/>
  <c r="G96" i="4"/>
  <c r="I94" i="4"/>
  <c r="P87" i="4"/>
  <c r="K92" i="4"/>
  <c r="L91" i="4"/>
  <c r="Q86" i="4"/>
  <c r="J103" i="10" s="1" a="1"/>
  <c r="J103" i="10" s="1"/>
  <c r="H95" i="4"/>
  <c r="P66" i="4"/>
  <c r="Q65" i="4"/>
  <c r="J82" i="10" s="1" a="1"/>
  <c r="J82" i="10" s="1"/>
  <c r="L70" i="4"/>
  <c r="J72" i="4"/>
  <c r="K71" i="4"/>
  <c r="G75" i="4"/>
  <c r="H74" i="4"/>
  <c r="O67" i="4"/>
  <c r="I73" i="4"/>
  <c r="E77" i="4"/>
  <c r="N68" i="4"/>
  <c r="F76" i="4"/>
  <c r="M69" i="4"/>
  <c r="L7" i="4"/>
  <c r="O4" i="4"/>
  <c r="M6" i="4"/>
  <c r="I10" i="4"/>
  <c r="H11" i="4"/>
  <c r="G12" i="4"/>
  <c r="J9" i="4"/>
  <c r="P3" i="4"/>
  <c r="N5" i="4"/>
  <c r="Q2" i="4"/>
  <c r="J19" i="10" s="1" a="1"/>
  <c r="J19" i="10" s="1"/>
  <c r="E14" i="4"/>
  <c r="F13" i="4"/>
  <c r="K8" i="4"/>
  <c r="H113" i="4"/>
  <c r="E116" i="4"/>
  <c r="M108" i="4"/>
  <c r="F115" i="4"/>
  <c r="G114" i="4"/>
  <c r="L109" i="4"/>
  <c r="O106" i="4"/>
  <c r="I112" i="4"/>
  <c r="N107" i="4"/>
  <c r="K110" i="4"/>
  <c r="P105" i="4"/>
  <c r="Q104" i="4"/>
  <c r="J121" i="10" s="1" a="1"/>
  <c r="J121" i="10" s="1"/>
  <c r="J111" i="4"/>
  <c r="I86" i="4"/>
  <c r="O80" i="4"/>
  <c r="E90" i="4"/>
  <c r="H87" i="4"/>
  <c r="L83" i="4"/>
  <c r="P79" i="4"/>
  <c r="J85" i="4"/>
  <c r="K84" i="4"/>
  <c r="Q78" i="4"/>
  <c r="J95" i="10" s="1" a="1"/>
  <c r="J95" i="10" s="1"/>
  <c r="N81" i="4"/>
  <c r="G88" i="4"/>
  <c r="F89" i="4"/>
  <c r="M82" i="4"/>
  <c r="F16" i="4"/>
  <c r="K11" i="4"/>
  <c r="N8" i="4"/>
  <c r="G15" i="4"/>
  <c r="I13" i="4"/>
  <c r="J12" i="4"/>
  <c r="E17" i="4"/>
  <c r="M9" i="4"/>
  <c r="H14" i="4"/>
  <c r="L10" i="4"/>
  <c r="P6" i="4"/>
  <c r="Q5" i="4"/>
  <c r="J22" i="10" s="1" a="1"/>
  <c r="J22" i="10" s="1"/>
  <c r="O7" i="4"/>
  <c r="N9" i="9"/>
  <c r="K12" i="9"/>
  <c r="P7" i="9"/>
  <c r="M10" i="9"/>
  <c r="J13" i="9"/>
  <c r="L11" i="9"/>
  <c r="O8" i="9"/>
  <c r="O41" i="4"/>
  <c r="P40" i="4"/>
  <c r="Q39" i="4"/>
  <c r="J56" i="10" s="1" a="1"/>
  <c r="J56" i="10" s="1"/>
  <c r="N42" i="4"/>
  <c r="H48" i="4"/>
  <c r="I47" i="4"/>
  <c r="M43" i="4"/>
  <c r="J46" i="4"/>
  <c r="G49" i="4"/>
  <c r="L44" i="4"/>
  <c r="E51" i="4"/>
  <c r="F50" i="4"/>
  <c r="K45" i="4"/>
  <c r="K99" i="4"/>
  <c r="I101" i="4"/>
  <c r="M97" i="4"/>
  <c r="F104" i="4"/>
  <c r="Q93" i="4"/>
  <c r="J110" i="10" s="1" a="1"/>
  <c r="J110" i="10" s="1"/>
  <c r="J100" i="4"/>
  <c r="G103" i="4"/>
  <c r="E105" i="4"/>
  <c r="P94" i="4"/>
  <c r="O95" i="4"/>
  <c r="H102" i="4"/>
  <c r="N96" i="4"/>
  <c r="L98" i="4"/>
  <c r="K3" i="9"/>
  <c r="G7" i="9"/>
  <c r="L2" i="9"/>
  <c r="I5" i="9"/>
  <c r="J4" i="9"/>
  <c r="O118" i="4"/>
  <c r="N119" i="4"/>
  <c r="L121" i="4"/>
  <c r="E9" i="9"/>
  <c r="M120" i="4"/>
  <c r="H6" i="9"/>
  <c r="F8" i="9"/>
  <c r="Q116" i="4"/>
  <c r="J133" i="10" s="1" a="1"/>
  <c r="J133" i="10" s="1"/>
  <c r="P117" i="4"/>
  <c r="Q113" i="4"/>
  <c r="J130" i="10" s="1" a="1"/>
  <c r="J130" i="10" s="1"/>
  <c r="F5" i="9"/>
  <c r="H3" i="9"/>
  <c r="P114" i="4"/>
  <c r="K119" i="4"/>
  <c r="J120" i="4"/>
  <c r="G4" i="9"/>
  <c r="N116" i="4"/>
  <c r="L118" i="4"/>
  <c r="I121" i="4"/>
  <c r="I2" i="9"/>
  <c r="O115" i="4"/>
  <c r="M117" i="4"/>
  <c r="E6" i="9"/>
  <c r="O66" i="4"/>
  <c r="I72" i="4"/>
  <c r="G74" i="4"/>
  <c r="M68" i="4"/>
  <c r="Q64" i="4"/>
  <c r="J81" i="10" s="1" a="1"/>
  <c r="J81" i="10" s="1"/>
  <c r="J71" i="4"/>
  <c r="E76" i="4"/>
  <c r="L69" i="4"/>
  <c r="H73" i="4"/>
  <c r="K70" i="4"/>
  <c r="F75" i="4"/>
  <c r="N67" i="4"/>
  <c r="P65" i="4"/>
  <c r="H94" i="4"/>
  <c r="E97" i="4"/>
  <c r="I93" i="4"/>
  <c r="P86" i="4"/>
  <c r="L90" i="4"/>
  <c r="M89" i="4"/>
  <c r="K91" i="4"/>
  <c r="G95" i="4"/>
  <c r="N88" i="4"/>
  <c r="F96" i="4"/>
  <c r="O87" i="4"/>
  <c r="Q85" i="4"/>
  <c r="J102" i="10" s="1" a="1"/>
  <c r="J102" i="10" s="1"/>
  <c r="J92" i="4"/>
  <c r="K82" i="4"/>
  <c r="L81" i="4"/>
  <c r="F87" i="4"/>
  <c r="G86" i="4"/>
  <c r="Q76" i="4"/>
  <c r="J93" i="10" s="1" a="1"/>
  <c r="J93" i="10" s="1"/>
  <c r="J83" i="4"/>
  <c r="P77" i="4"/>
  <c r="N79" i="4"/>
  <c r="I84" i="4"/>
  <c r="H85" i="4"/>
  <c r="E88" i="4"/>
  <c r="M80" i="4"/>
  <c r="O78" i="4"/>
  <c r="K109" i="4"/>
  <c r="I111" i="4"/>
  <c r="M107" i="4"/>
  <c r="E115" i="4"/>
  <c r="J110" i="4"/>
  <c r="H112" i="4"/>
  <c r="Q103" i="4"/>
  <c r="J120" i="10" s="1" a="1"/>
  <c r="J120" i="10" s="1"/>
  <c r="F114" i="4"/>
  <c r="N106" i="4"/>
  <c r="L108" i="4"/>
  <c r="P104" i="4"/>
  <c r="G113" i="4"/>
  <c r="O105" i="4"/>
  <c r="L107" i="4"/>
  <c r="M106" i="4"/>
  <c r="K108" i="4"/>
  <c r="G112" i="4"/>
  <c r="J109" i="4"/>
  <c r="P103" i="4"/>
  <c r="F113" i="4"/>
  <c r="Q102" i="4"/>
  <c r="J119" i="10" s="1" a="1"/>
  <c r="J119" i="10" s="1"/>
  <c r="I110" i="4"/>
  <c r="E114" i="4"/>
  <c r="H111" i="4"/>
  <c r="O104" i="4"/>
  <c r="N105" i="4"/>
  <c r="J38" i="4"/>
  <c r="N34" i="4"/>
  <c r="G41" i="4"/>
  <c r="O33" i="4"/>
  <c r="P32" i="4"/>
  <c r="M35" i="4"/>
  <c r="H40" i="4"/>
  <c r="L36" i="4"/>
  <c r="F42" i="4"/>
  <c r="I39" i="4"/>
  <c r="E43" i="4"/>
  <c r="Q31" i="4"/>
  <c r="J48" i="10" s="1" a="1"/>
  <c r="J48" i="10" s="1"/>
  <c r="K37" i="4"/>
  <c r="J69" i="4"/>
  <c r="K68" i="4"/>
  <c r="E74" i="4"/>
  <c r="H71" i="4"/>
  <c r="N65" i="4"/>
  <c r="O64" i="4"/>
  <c r="L67" i="4"/>
  <c r="F73" i="4"/>
  <c r="G72" i="4"/>
  <c r="M66" i="4"/>
  <c r="Q62" i="4"/>
  <c r="J79" i="10" s="1" a="1"/>
  <c r="J79" i="10" s="1"/>
  <c r="P63" i="4"/>
  <c r="I70" i="4"/>
  <c r="E84" i="4"/>
  <c r="L77" i="4"/>
  <c r="Q72" i="4"/>
  <c r="J89" i="10" s="1" a="1"/>
  <c r="J89" i="10" s="1"/>
  <c r="J79" i="4"/>
  <c r="M76" i="4"/>
  <c r="H81" i="4"/>
  <c r="I80" i="4"/>
  <c r="P73" i="4"/>
  <c r="K78" i="4"/>
  <c r="O74" i="4"/>
  <c r="N75" i="4"/>
  <c r="G82" i="4"/>
  <c r="F83" i="4"/>
  <c r="F108" i="4"/>
  <c r="K103" i="4"/>
  <c r="E109" i="4"/>
  <c r="I105" i="4"/>
  <c r="O99" i="4"/>
  <c r="L102" i="4"/>
  <c r="Q97" i="4"/>
  <c r="J114" i="10" s="1" a="1"/>
  <c r="J114" i="10" s="1"/>
  <c r="J104" i="4"/>
  <c r="G107" i="4"/>
  <c r="N100" i="4"/>
  <c r="P98" i="4"/>
  <c r="H106" i="4"/>
  <c r="M101" i="4"/>
  <c r="E3" i="9"/>
  <c r="P111" i="4"/>
  <c r="F121" i="4"/>
  <c r="F2" i="9"/>
  <c r="M114" i="4"/>
  <c r="O112" i="4"/>
  <c r="N113" i="4"/>
  <c r="H119" i="4"/>
  <c r="K116" i="4"/>
  <c r="Q110" i="4"/>
  <c r="J127" i="10" s="1" a="1"/>
  <c r="J127" i="10" s="1"/>
  <c r="I118" i="4"/>
  <c r="G120" i="4"/>
  <c r="L115" i="4"/>
  <c r="J117" i="4"/>
  <c r="E119" i="4"/>
  <c r="F118" i="4"/>
  <c r="P108" i="4"/>
  <c r="N110" i="4"/>
  <c r="L112" i="4"/>
  <c r="Q107" i="4"/>
  <c r="J124" i="10" s="1" a="1"/>
  <c r="J124" i="10" s="1"/>
  <c r="O109" i="4"/>
  <c r="H116" i="4"/>
  <c r="M111" i="4"/>
  <c r="J114" i="4"/>
  <c r="K113" i="4"/>
  <c r="G117" i="4"/>
  <c r="I115" i="4"/>
  <c r="N73" i="4"/>
  <c r="I78" i="4"/>
  <c r="J77" i="4"/>
  <c r="P71" i="4"/>
  <c r="E82" i="4"/>
  <c r="M74" i="4"/>
  <c r="L75" i="4"/>
  <c r="Q70" i="4"/>
  <c r="J87" i="10" s="1" a="1"/>
  <c r="J87" i="10" s="1"/>
  <c r="F81" i="4"/>
  <c r="G80" i="4"/>
  <c r="O72" i="4"/>
  <c r="H79" i="4"/>
  <c r="K76" i="4"/>
  <c r="E27" i="4"/>
  <c r="P16" i="4"/>
  <c r="M19" i="4"/>
  <c r="O17" i="4"/>
  <c r="Q15" i="4"/>
  <c r="J32" i="10" s="1" a="1"/>
  <c r="J32" i="10" s="1"/>
  <c r="N18" i="4"/>
  <c r="G25" i="4"/>
  <c r="H24" i="4"/>
  <c r="K21" i="4"/>
  <c r="I23" i="4"/>
  <c r="L20" i="4"/>
  <c r="F26" i="4"/>
  <c r="J22" i="4"/>
  <c r="P83" i="4"/>
  <c r="E94" i="4"/>
  <c r="L87" i="4"/>
  <c r="K88" i="4"/>
  <c r="H91" i="4"/>
  <c r="J89" i="4"/>
  <c r="M86" i="4"/>
  <c r="I90" i="4"/>
  <c r="N85" i="4"/>
  <c r="Q82" i="4"/>
  <c r="J99" i="10" s="1" a="1"/>
  <c r="J99" i="10" s="1"/>
  <c r="F93" i="4"/>
  <c r="O84" i="4"/>
  <c r="G92" i="4"/>
  <c r="P37" i="4"/>
  <c r="F47" i="4"/>
  <c r="E48" i="4"/>
  <c r="O38" i="4"/>
  <c r="I44" i="4"/>
  <c r="L41" i="4"/>
  <c r="N39" i="4"/>
  <c r="K42" i="4"/>
  <c r="J43" i="4"/>
  <c r="Q36" i="4"/>
  <c r="J53" i="10" s="1" a="1"/>
  <c r="J53" i="10" s="1"/>
  <c r="H45" i="4"/>
  <c r="G46" i="4"/>
  <c r="M40" i="4"/>
  <c r="Q60" i="4"/>
  <c r="J77" i="10" s="1" a="1"/>
  <c r="J77" i="10" s="1"/>
  <c r="M64" i="4"/>
  <c r="G70" i="4"/>
  <c r="I68" i="4"/>
  <c r="O62" i="4"/>
  <c r="H69" i="4"/>
  <c r="P61" i="4"/>
  <c r="L65" i="4"/>
  <c r="N63" i="4"/>
  <c r="J67" i="4"/>
  <c r="E72" i="4"/>
  <c r="K66" i="4"/>
  <c r="F71" i="4"/>
  <c r="J96" i="4"/>
  <c r="G99" i="4"/>
  <c r="H98" i="4"/>
  <c r="F100" i="4"/>
  <c r="O91" i="4"/>
  <c r="M93" i="4"/>
  <c r="Q89" i="4"/>
  <c r="J106" i="10" s="1" a="1"/>
  <c r="J106" i="10" s="1"/>
  <c r="N92" i="4"/>
  <c r="K95" i="4"/>
  <c r="L94" i="4"/>
  <c r="E101" i="4"/>
  <c r="P90" i="4"/>
  <c r="I97" i="4"/>
  <c r="K60" i="4"/>
  <c r="O56" i="4"/>
  <c r="J61" i="4"/>
  <c r="G64" i="4"/>
  <c r="E66" i="4"/>
  <c r="P55" i="4"/>
  <c r="Q54" i="4"/>
  <c r="J71" i="10" s="1" a="1"/>
  <c r="J71" i="10" s="1"/>
  <c r="H63" i="4"/>
  <c r="M58" i="4"/>
  <c r="L59" i="4"/>
  <c r="F65" i="4"/>
  <c r="I62" i="4"/>
  <c r="N57" i="4"/>
  <c r="J87" i="4"/>
  <c r="G90" i="4"/>
  <c r="H89" i="4"/>
  <c r="E92" i="4"/>
  <c r="M84" i="4"/>
  <c r="N83" i="4"/>
  <c r="F91" i="4"/>
  <c r="I88" i="4"/>
  <c r="K86" i="4"/>
  <c r="Q80" i="4"/>
  <c r="J97" i="10" s="1" a="1"/>
  <c r="J97" i="10" s="1"/>
  <c r="O82" i="4"/>
  <c r="P81" i="4"/>
  <c r="L85" i="4"/>
  <c r="J54" i="4"/>
  <c r="E59" i="4"/>
  <c r="M51" i="4"/>
  <c r="N50" i="4"/>
  <c r="F58" i="4"/>
  <c r="L52" i="4"/>
  <c r="K53" i="4"/>
  <c r="O49" i="4"/>
  <c r="P48" i="4"/>
  <c r="I55" i="4"/>
  <c r="G57" i="4"/>
  <c r="Q47" i="4"/>
  <c r="J64" i="10" s="1" a="1"/>
  <c r="J64" i="10" s="1"/>
  <c r="H56" i="4"/>
  <c r="Q87" i="4"/>
  <c r="J104" i="10" s="1" a="1"/>
  <c r="J104" i="10" s="1"/>
  <c r="F98" i="4"/>
  <c r="L92" i="4"/>
  <c r="N90" i="4"/>
  <c r="O89" i="4"/>
  <c r="M91" i="4"/>
  <c r="E99" i="4"/>
  <c r="J94" i="4"/>
  <c r="P88" i="4"/>
  <c r="K93" i="4"/>
  <c r="I95" i="4"/>
  <c r="H96" i="4"/>
  <c r="G97" i="4"/>
  <c r="M30" i="4"/>
  <c r="H35" i="4"/>
  <c r="L31" i="4"/>
  <c r="E38" i="4"/>
  <c r="N29" i="4"/>
  <c r="J33" i="4"/>
  <c r="F37" i="4"/>
  <c r="Q26" i="4"/>
  <c r="J43" i="10" s="1" a="1"/>
  <c r="J43" i="10" s="1"/>
  <c r="K32" i="4"/>
  <c r="G36" i="4"/>
  <c r="O28" i="4"/>
  <c r="I34" i="4"/>
  <c r="P27" i="4"/>
  <c r="K8" i="9"/>
  <c r="L7" i="9"/>
  <c r="J9" i="9"/>
  <c r="F13" i="9"/>
  <c r="P3" i="9"/>
  <c r="M16" i="10" s="1" a="1"/>
  <c r="M16" i="10" s="1"/>
  <c r="O4" i="9"/>
  <c r="M6" i="9"/>
  <c r="G12" i="9"/>
  <c r="N5" i="9"/>
  <c r="I10" i="9"/>
  <c r="Q121" i="4"/>
  <c r="J138" i="10" s="1" a="1"/>
  <c r="J138" i="10" s="1"/>
  <c r="H11" i="9"/>
  <c r="L51" i="4"/>
  <c r="H55" i="4"/>
  <c r="N49" i="4"/>
  <c r="M50" i="4"/>
  <c r="E58" i="4"/>
  <c r="P47" i="4"/>
  <c r="J53" i="4"/>
  <c r="F57" i="4"/>
  <c r="G56" i="4"/>
  <c r="I54" i="4"/>
  <c r="Q46" i="4"/>
  <c r="J63" i="10" s="1" a="1"/>
  <c r="J63" i="10" s="1"/>
  <c r="O48" i="4"/>
  <c r="K52" i="4"/>
  <c r="L9" i="4"/>
  <c r="G14" i="4"/>
  <c r="N7" i="4"/>
  <c r="K10" i="4"/>
  <c r="P5" i="4"/>
  <c r="M8" i="4"/>
  <c r="F15" i="4"/>
  <c r="H13" i="4"/>
  <c r="Q4" i="4"/>
  <c r="J21" i="10" s="1" a="1"/>
  <c r="J21" i="10" s="1"/>
  <c r="E16" i="4"/>
  <c r="I12" i="4"/>
  <c r="J11" i="4"/>
  <c r="O6" i="4"/>
  <c r="P115" i="4"/>
  <c r="I3" i="9"/>
  <c r="G5" i="9"/>
  <c r="J2" i="9"/>
  <c r="G16" i="10" s="1" a="1"/>
  <c r="G16" i="10" s="1"/>
  <c r="N117" i="4"/>
  <c r="H4" i="9"/>
  <c r="O116" i="4"/>
  <c r="M118" i="4"/>
  <c r="L119" i="4"/>
  <c r="E7" i="9"/>
  <c r="J121" i="4"/>
  <c r="Q114" i="4"/>
  <c r="J131" i="10" s="1" a="1"/>
  <c r="J131" i="10" s="1"/>
  <c r="K120" i="4"/>
  <c r="F6" i="9"/>
  <c r="J7" i="9"/>
  <c r="F11" i="9"/>
  <c r="E12" i="9"/>
  <c r="L5" i="9"/>
  <c r="K6" i="9"/>
  <c r="O121" i="4"/>
  <c r="I8" i="9"/>
  <c r="G10" i="9"/>
  <c r="Q119" i="4"/>
  <c r="J136" i="10" s="1" a="1"/>
  <c r="J136" i="10" s="1"/>
  <c r="P120" i="4"/>
  <c r="H9" i="9"/>
  <c r="N3" i="9"/>
  <c r="M4" i="9"/>
  <c r="O2" i="9"/>
  <c r="L16" i="10" s="1" a="1"/>
  <c r="L16" i="10" s="1"/>
  <c r="O101" i="4"/>
  <c r="J106" i="4"/>
  <c r="Q99" i="4"/>
  <c r="J116" i="10" s="1" a="1"/>
  <c r="J116" i="10" s="1"/>
  <c r="L104" i="4"/>
  <c r="E111" i="4"/>
  <c r="F110" i="4"/>
  <c r="K105" i="4"/>
  <c r="I107" i="4"/>
  <c r="P100" i="4"/>
  <c r="H108" i="4"/>
  <c r="M103" i="4"/>
  <c r="N102" i="4"/>
  <c r="G109" i="4"/>
  <c r="P24" i="4"/>
  <c r="Q23" i="4"/>
  <c r="J40" i="10" s="1" a="1"/>
  <c r="J40" i="10" s="1"/>
  <c r="M27" i="4"/>
  <c r="J30" i="4"/>
  <c r="L28" i="4"/>
  <c r="F34" i="4"/>
  <c r="I31" i="4"/>
  <c r="H32" i="4"/>
  <c r="E35" i="4"/>
  <c r="O25" i="4"/>
  <c r="G33" i="4"/>
  <c r="N26" i="4"/>
  <c r="K29" i="4"/>
  <c r="I81" i="4"/>
  <c r="M77" i="4"/>
  <c r="O75" i="4"/>
  <c r="F84" i="4"/>
  <c r="J80" i="4"/>
  <c r="G83" i="4"/>
  <c r="L78" i="4"/>
  <c r="N76" i="4"/>
  <c r="E85" i="4"/>
  <c r="H82" i="4"/>
  <c r="Q73" i="4"/>
  <c r="J90" i="10" s="1" a="1"/>
  <c r="J90" i="10" s="1"/>
  <c r="K79" i="4"/>
  <c r="P74" i="4"/>
  <c r="J23" i="4"/>
  <c r="P17" i="4"/>
  <c r="O18" i="4"/>
  <c r="K22" i="4"/>
  <c r="F27" i="4"/>
  <c r="L21" i="4"/>
  <c r="I24" i="4"/>
  <c r="H25" i="4"/>
  <c r="N19" i="4"/>
  <c r="G26" i="4"/>
  <c r="E28" i="4"/>
  <c r="Q16" i="4"/>
  <c r="J33" i="10" s="1" a="1"/>
  <c r="J33" i="10" s="1"/>
  <c r="M20" i="4"/>
  <c r="O2" i="4"/>
  <c r="H9" i="4"/>
  <c r="G10" i="4"/>
  <c r="N3" i="4"/>
  <c r="J7" i="4"/>
  <c r="M4" i="4"/>
  <c r="F11" i="4"/>
  <c r="K6" i="4"/>
  <c r="E12" i="4"/>
  <c r="L5" i="4"/>
  <c r="I8" i="4"/>
  <c r="N111" i="4"/>
  <c r="P109" i="4"/>
  <c r="K114" i="4"/>
  <c r="Q108" i="4"/>
  <c r="J125" i="10" s="1" a="1"/>
  <c r="J125" i="10" s="1"/>
  <c r="H117" i="4"/>
  <c r="I116" i="4"/>
  <c r="F119" i="4"/>
  <c r="J115" i="4"/>
  <c r="G118" i="4"/>
  <c r="O110" i="4"/>
  <c r="L113" i="4"/>
  <c r="E120" i="4"/>
  <c r="M112" i="4"/>
  <c r="M5" i="4"/>
  <c r="K7" i="4"/>
  <c r="L6" i="4"/>
  <c r="O3" i="4"/>
  <c r="I9" i="4"/>
  <c r="F12" i="4"/>
  <c r="E13" i="4"/>
  <c r="P2" i="4"/>
  <c r="H10" i="4"/>
  <c r="G11" i="4"/>
  <c r="J8" i="4"/>
  <c r="N4" i="4"/>
  <c r="G39" i="4"/>
  <c r="I37" i="4"/>
  <c r="H38" i="4"/>
  <c r="M33" i="4"/>
  <c r="Q29" i="4"/>
  <c r="J46" i="10" s="1" a="1"/>
  <c r="J46" i="10" s="1"/>
  <c r="O31" i="4"/>
  <c r="L34" i="4"/>
  <c r="K35" i="4"/>
  <c r="P30" i="4"/>
  <c r="J36" i="4"/>
  <c r="N32" i="4"/>
  <c r="F40" i="4"/>
  <c r="E41" i="4"/>
  <c r="P12" i="9"/>
  <c r="O13" i="9"/>
  <c r="P116" i="4"/>
  <c r="J3" i="9"/>
  <c r="K2" i="9"/>
  <c r="H16" i="10" s="1" a="1"/>
  <c r="H16" i="10" s="1"/>
  <c r="H5" i="9"/>
  <c r="I4" i="9"/>
  <c r="L120" i="4"/>
  <c r="Q115" i="4"/>
  <c r="J132" i="10" s="1" a="1"/>
  <c r="J132" i="10" s="1"/>
  <c r="M119" i="4"/>
  <c r="N118" i="4"/>
  <c r="O117" i="4"/>
  <c r="F7" i="9"/>
  <c r="G6" i="9"/>
  <c r="E8" i="9"/>
  <c r="K121" i="4"/>
  <c r="L63" i="4"/>
  <c r="F69" i="4"/>
  <c r="G68" i="4"/>
  <c r="Q58" i="4"/>
  <c r="J75" i="10" s="1" a="1"/>
  <c r="J75" i="10" s="1"/>
  <c r="M62" i="4"/>
  <c r="J65" i="4"/>
  <c r="I66" i="4"/>
  <c r="H67" i="4"/>
  <c r="N61" i="4"/>
  <c r="P59" i="4"/>
  <c r="O60" i="4"/>
  <c r="K64" i="4"/>
  <c r="E70" i="4"/>
  <c r="N23" i="4"/>
  <c r="G30" i="4"/>
  <c r="O22" i="4"/>
  <c r="L25" i="4"/>
  <c r="Q20" i="4"/>
  <c r="J37" i="10" s="1" a="1"/>
  <c r="J37" i="10" s="1"/>
  <c r="J27" i="4"/>
  <c r="K26" i="4"/>
  <c r="F31" i="4"/>
  <c r="E32" i="4"/>
  <c r="P21" i="4"/>
  <c r="H29" i="4"/>
  <c r="I28" i="4"/>
  <c r="M24" i="4"/>
  <c r="H54" i="4"/>
  <c r="N48" i="4"/>
  <c r="K51" i="4"/>
  <c r="F56" i="4"/>
  <c r="I53" i="4"/>
  <c r="L50" i="4"/>
  <c r="O47" i="4"/>
  <c r="G55" i="4"/>
  <c r="E57" i="4"/>
  <c r="Q45" i="4"/>
  <c r="J62" i="10" s="1" a="1"/>
  <c r="J62" i="10" s="1"/>
  <c r="J52" i="4"/>
  <c r="M49" i="4"/>
  <c r="P46" i="4"/>
  <c r="K107" i="4"/>
  <c r="F112" i="4"/>
  <c r="L106" i="4"/>
  <c r="P102" i="4"/>
  <c r="O103" i="4"/>
  <c r="I109" i="4"/>
  <c r="E113" i="4"/>
  <c r="M105" i="4"/>
  <c r="Q101" i="4"/>
  <c r="J118" i="10" s="1" a="1"/>
  <c r="J118" i="10" s="1"/>
  <c r="N104" i="4"/>
  <c r="J108" i="4"/>
  <c r="H110" i="4"/>
  <c r="G111" i="4"/>
  <c r="H62" i="4"/>
  <c r="L58" i="4"/>
  <c r="K59" i="4"/>
  <c r="F64" i="4"/>
  <c r="O55" i="4"/>
  <c r="P54" i="4"/>
  <c r="N56" i="4"/>
  <c r="M57" i="4"/>
  <c r="J60" i="4"/>
  <c r="E65" i="4"/>
  <c r="Q53" i="4"/>
  <c r="J70" i="10" s="1" a="1"/>
  <c r="J70" i="10" s="1"/>
  <c r="G63" i="4"/>
  <c r="I61" i="4"/>
  <c r="N45" i="4"/>
  <c r="H51" i="4"/>
  <c r="G52" i="4"/>
  <c r="K48" i="4"/>
  <c r="M46" i="4"/>
  <c r="F53" i="4"/>
  <c r="J49" i="4"/>
  <c r="O44" i="4"/>
  <c r="L47" i="4"/>
  <c r="I50" i="4"/>
  <c r="Q42" i="4"/>
  <c r="J59" i="10" s="1" a="1"/>
  <c r="J59" i="10" s="1"/>
  <c r="P43" i="4"/>
  <c r="E54" i="4"/>
  <c r="Q100" i="4"/>
  <c r="J117" i="10" s="1" a="1"/>
  <c r="J117" i="10" s="1"/>
  <c r="I108" i="4"/>
  <c r="E112" i="4"/>
  <c r="K106" i="4"/>
  <c r="L105" i="4"/>
  <c r="F111" i="4"/>
  <c r="P101" i="4"/>
  <c r="O102" i="4"/>
  <c r="G110" i="4"/>
  <c r="M104" i="4"/>
  <c r="J107" i="4"/>
  <c r="H109" i="4"/>
  <c r="N103" i="4"/>
  <c r="H65" i="4"/>
  <c r="P57" i="4"/>
  <c r="O58" i="4"/>
  <c r="L61" i="4"/>
  <c r="J63" i="4"/>
  <c r="N59" i="4"/>
  <c r="K62" i="4"/>
  <c r="M60" i="4"/>
  <c r="G66" i="4"/>
  <c r="F67" i="4"/>
  <c r="E68" i="4"/>
  <c r="Q56" i="4"/>
  <c r="J73" i="10" s="1" a="1"/>
  <c r="J73" i="10" s="1"/>
  <c r="I64" i="4"/>
  <c r="E4" i="4"/>
  <c r="F3" i="4"/>
  <c r="G2" i="4"/>
  <c r="I113" i="4"/>
  <c r="K111" i="4"/>
  <c r="P106" i="4"/>
  <c r="N108" i="4"/>
  <c r="E117" i="4"/>
  <c r="J112" i="4"/>
  <c r="O107" i="4"/>
  <c r="M109" i="4"/>
  <c r="G115" i="4"/>
  <c r="F116" i="4"/>
  <c r="Q105" i="4"/>
  <c r="J122" i="10" s="1" a="1"/>
  <c r="J122" i="10" s="1"/>
  <c r="H114" i="4"/>
  <c r="L110" i="4"/>
  <c r="E53" i="4"/>
  <c r="K47" i="4"/>
  <c r="G51" i="4"/>
  <c r="O43" i="4"/>
  <c r="I49" i="4"/>
  <c r="N44" i="4"/>
  <c r="H50" i="4"/>
  <c r="P42" i="4"/>
  <c r="F52" i="4"/>
  <c r="M45" i="4"/>
  <c r="L46" i="4"/>
  <c r="J48" i="4"/>
  <c r="Q41" i="4"/>
  <c r="J58" i="10" s="1" a="1"/>
  <c r="J58" i="10" s="1"/>
  <c r="F28" i="4"/>
  <c r="K23" i="4"/>
  <c r="H26" i="4"/>
  <c r="O19" i="4"/>
  <c r="G27" i="4"/>
  <c r="P18" i="4"/>
  <c r="Q17" i="4"/>
  <c r="J34" i="10" s="1" a="1"/>
  <c r="J34" i="10" s="1"/>
  <c r="N20" i="4"/>
  <c r="L22" i="4"/>
  <c r="E29" i="4"/>
  <c r="I25" i="4"/>
  <c r="J24" i="4"/>
  <c r="M21" i="4"/>
  <c r="J6" i="4"/>
  <c r="L4" i="4"/>
  <c r="K5" i="4"/>
  <c r="N2" i="4"/>
  <c r="M3" i="4"/>
  <c r="E11" i="4"/>
  <c r="F10" i="4"/>
  <c r="H8" i="4"/>
  <c r="I7" i="4"/>
  <c r="G9" i="4"/>
  <c r="L86" i="4"/>
  <c r="K87" i="4"/>
  <c r="I89" i="4"/>
  <c r="O83" i="4"/>
  <c r="F92" i="4"/>
  <c r="N84" i="4"/>
  <c r="J88" i="4"/>
  <c r="H90" i="4"/>
  <c r="P82" i="4"/>
  <c r="G91" i="4"/>
  <c r="M85" i="4"/>
  <c r="E93" i="4"/>
  <c r="Q81" i="4"/>
  <c r="J98" i="10" s="1" a="1"/>
  <c r="J98" i="10" s="1"/>
  <c r="K77" i="4"/>
  <c r="Q71" i="4"/>
  <c r="J88" i="10" s="1" a="1"/>
  <c r="J88" i="10" s="1"/>
  <c r="E83" i="4"/>
  <c r="P72" i="4"/>
  <c r="H80" i="4"/>
  <c r="I79" i="4"/>
  <c r="F82" i="4"/>
  <c r="L76" i="4"/>
  <c r="O73" i="4"/>
  <c r="M75" i="4"/>
  <c r="J78" i="4"/>
  <c r="N74" i="4"/>
  <c r="G81" i="4"/>
  <c r="G108" i="4"/>
  <c r="J105" i="4"/>
  <c r="O100" i="4"/>
  <c r="Q98" i="4"/>
  <c r="J115" i="10" s="1" a="1"/>
  <c r="J115" i="10" s="1"/>
  <c r="F109" i="4"/>
  <c r="P99" i="4"/>
  <c r="I106" i="4"/>
  <c r="L103" i="4"/>
  <c r="H107" i="4"/>
  <c r="N101" i="4"/>
  <c r="K104" i="4"/>
  <c r="M102" i="4"/>
  <c r="E110" i="4"/>
  <c r="H39" i="4"/>
  <c r="P31" i="4"/>
  <c r="L35" i="4"/>
  <c r="Q30" i="4"/>
  <c r="J47" i="10" s="1" a="1"/>
  <c r="J47" i="10" s="1"/>
  <c r="J37" i="4"/>
  <c r="F41" i="4"/>
  <c r="E42" i="4"/>
  <c r="N33" i="4"/>
  <c r="I38" i="4"/>
  <c r="O32" i="4"/>
  <c r="G40" i="4"/>
  <c r="M34" i="4"/>
  <c r="K36" i="4"/>
  <c r="H101" i="4"/>
  <c r="M96" i="4"/>
  <c r="L97" i="4"/>
  <c r="I100" i="4"/>
  <c r="G102" i="4"/>
  <c r="N95" i="4"/>
  <c r="F103" i="4"/>
  <c r="K98" i="4"/>
  <c r="Q92" i="4"/>
  <c r="J109" i="10" s="1" a="1"/>
  <c r="J109" i="10" s="1"/>
  <c r="E104" i="4"/>
  <c r="J99" i="4"/>
  <c r="O94" i="4"/>
  <c r="P93" i="4"/>
  <c r="J16" i="10" l="1" a="1"/>
  <c r="J16" i="10" s="1"/>
  <c r="D16" i="10" a="1"/>
  <c r="D16" i="10" s="1"/>
  <c r="C16" i="10" a="1"/>
  <c r="C16" i="10" s="1"/>
  <c r="I16" i="10" a="1"/>
  <c r="I16" i="10" s="1"/>
  <c r="F16" i="10" a="1"/>
  <c r="F16" i="10" s="1"/>
  <c r="B8" i="9"/>
  <c r="D7" i="9" a="1"/>
  <c r="D7" i="9" s="1"/>
  <c r="R118" i="4"/>
  <c r="B11" i="4"/>
  <c r="B27" i="10" a="1"/>
  <c r="B27" i="10" s="1"/>
  <c r="R7" i="4"/>
  <c r="R16" i="4"/>
  <c r="R71" i="4"/>
  <c r="R50" i="4"/>
  <c r="R9" i="4"/>
  <c r="R63" i="4"/>
  <c r="R75" i="4"/>
  <c r="R121" i="4"/>
  <c r="R42" i="4"/>
  <c r="R65" i="4"/>
  <c r="R78" i="4"/>
  <c r="R66" i="4"/>
  <c r="R98" i="4"/>
  <c r="R22" i="4"/>
  <c r="R29" i="4"/>
  <c r="R33" i="4"/>
  <c r="R107" i="4"/>
  <c r="R39" i="4"/>
  <c r="R6" i="4"/>
  <c r="R103" i="4"/>
  <c r="R94" i="4"/>
  <c r="R45" i="4"/>
  <c r="R69" i="4"/>
  <c r="R37" i="4"/>
  <c r="R47" i="4"/>
  <c r="R62" i="4"/>
  <c r="R46" i="4"/>
  <c r="R83" i="4"/>
  <c r="R64" i="4"/>
  <c r="R38" i="4"/>
  <c r="R40" i="4"/>
  <c r="R110" i="4"/>
  <c r="R12" i="4"/>
  <c r="R111" i="4"/>
  <c r="R58" i="4"/>
  <c r="R90" i="4"/>
  <c r="R55" i="4"/>
  <c r="R101" i="4"/>
  <c r="R74" i="4"/>
  <c r="R112" i="4"/>
  <c r="R81" i="4"/>
  <c r="R73" i="4"/>
  <c r="R109" i="4"/>
  <c r="R67" i="4"/>
  <c r="R77" i="4"/>
  <c r="R5" i="4"/>
  <c r="R24" i="4"/>
  <c r="R106" i="4"/>
  <c r="R104" i="4"/>
  <c r="R54" i="4"/>
  <c r="R32" i="4"/>
  <c r="R119" i="4"/>
  <c r="R105" i="4"/>
  <c r="R20" i="4"/>
  <c r="R4" i="4"/>
  <c r="R13" i="4"/>
  <c r="R43" i="4"/>
  <c r="R91" i="4"/>
  <c r="R52" i="4"/>
  <c r="R86" i="4"/>
  <c r="R44" i="4"/>
  <c r="R18" i="4"/>
  <c r="R108" i="4"/>
  <c r="R48" i="4"/>
  <c r="R27" i="4"/>
  <c r="R2" i="4"/>
  <c r="R100" i="4"/>
  <c r="R3" i="4"/>
  <c r="R19" i="4"/>
  <c r="R68" i="4"/>
  <c r="R113" i="4"/>
  <c r="R99" i="4"/>
  <c r="R79" i="4"/>
  <c r="R25" i="4"/>
  <c r="R23" i="4"/>
  <c r="R21" i="4"/>
  <c r="R30" i="4"/>
  <c r="R80" i="4"/>
  <c r="R36" i="4"/>
  <c r="R61" i="4"/>
  <c r="R85" i="4"/>
  <c r="R93" i="4"/>
  <c r="R117" i="4"/>
  <c r="R59" i="4"/>
  <c r="R31" i="4"/>
  <c r="R8" i="4"/>
  <c r="R92" i="4"/>
  <c r="R28" i="4"/>
  <c r="R35" i="4"/>
  <c r="R115" i="4"/>
  <c r="R97" i="4"/>
  <c r="R17" i="4"/>
  <c r="R10" i="4"/>
  <c r="R34" i="4"/>
  <c r="R70" i="4"/>
  <c r="R120" i="4"/>
  <c r="Q13" i="9"/>
  <c r="R72" i="4"/>
  <c r="R116" i="4"/>
  <c r="R15" i="4"/>
  <c r="R11" i="4"/>
  <c r="R51" i="4"/>
  <c r="R56" i="4"/>
  <c r="R41" i="4"/>
  <c r="R82" i="4"/>
  <c r="R87" i="4"/>
  <c r="R88" i="4"/>
  <c r="R49" i="4"/>
  <c r="R53" i="4"/>
  <c r="R84" i="4"/>
  <c r="R14" i="4"/>
  <c r="R102" i="4"/>
  <c r="R60" i="4"/>
  <c r="R76" i="4"/>
  <c r="R89" i="4"/>
  <c r="R95" i="4"/>
  <c r="R96" i="4"/>
  <c r="R26" i="4"/>
  <c r="R57" i="4"/>
  <c r="R114" i="4"/>
  <c r="Q12" i="9"/>
  <c r="Q11" i="9"/>
  <c r="Q9" i="9"/>
  <c r="Q3" i="9"/>
  <c r="O16" i="10" s="1" a="1"/>
  <c r="O16" i="10" s="1"/>
  <c r="Q4" i="9"/>
  <c r="Q10" i="9"/>
  <c r="Q7" i="9"/>
  <c r="Q6" i="9"/>
  <c r="Q2" i="9"/>
  <c r="Q5" i="9"/>
  <c r="Q8" i="9"/>
  <c r="K41" i="10" l="1"/>
  <c r="K114" i="10"/>
  <c r="K112" i="10"/>
  <c r="K42" i="10"/>
  <c r="E113" i="10"/>
  <c r="K58" i="10"/>
  <c r="E72" i="10"/>
  <c r="F72" i="10" s="1"/>
  <c r="G72" i="10" s="1"/>
  <c r="E99" i="10"/>
  <c r="F99" i="10" s="1"/>
  <c r="G99" i="10" s="1"/>
  <c r="E27" i="10"/>
  <c r="F27" i="10" s="1"/>
  <c r="G27" i="10" s="1"/>
  <c r="K68" i="10"/>
  <c r="K105" i="10"/>
  <c r="K64" i="10"/>
  <c r="E37" i="10"/>
  <c r="F37" i="10" s="1"/>
  <c r="G37" i="10" s="1"/>
  <c r="K136" i="10"/>
  <c r="K130" i="10"/>
  <c r="E134" i="10"/>
  <c r="F134" i="10" s="1"/>
  <c r="G134" i="10" s="1"/>
  <c r="K96" i="10"/>
  <c r="K49" i="10"/>
  <c r="E73" i="10"/>
  <c r="F73" i="10" s="1"/>
  <c r="G73" i="10" s="1"/>
  <c r="K56" i="10"/>
  <c r="E66" i="10"/>
  <c r="F66" i="10" s="1"/>
  <c r="G66" i="10" s="1"/>
  <c r="K132" i="10"/>
  <c r="K79" i="10"/>
  <c r="K118" i="10"/>
  <c r="K73" i="10"/>
  <c r="K55" i="10"/>
  <c r="K52" i="10"/>
  <c r="K92" i="10"/>
  <c r="E126" i="10"/>
  <c r="F126" i="10" s="1"/>
  <c r="G126" i="10" s="1"/>
  <c r="E88" i="10"/>
  <c r="K28" i="10"/>
  <c r="E114" i="10"/>
  <c r="F114" i="10" s="1"/>
  <c r="G114" i="10" s="1"/>
  <c r="E81" i="10"/>
  <c r="F81" i="10" s="1"/>
  <c r="G81" i="10" s="1"/>
  <c r="E44" i="10"/>
  <c r="F44" i="10" s="1"/>
  <c r="G44" i="10" s="1"/>
  <c r="E92" i="10"/>
  <c r="F92" i="10" s="1"/>
  <c r="G92" i="10" s="1"/>
  <c r="E70" i="10"/>
  <c r="F70" i="10" s="1"/>
  <c r="G70" i="10" s="1"/>
  <c r="E35" i="10"/>
  <c r="F35" i="10" s="1"/>
  <c r="G35" i="10" s="1"/>
  <c r="E58" i="10"/>
  <c r="F58" i="10" s="1"/>
  <c r="G58" i="10" s="1"/>
  <c r="K100" i="10"/>
  <c r="K51" i="10"/>
  <c r="K67" i="10"/>
  <c r="E80" i="10"/>
  <c r="F80" i="10" s="1"/>
  <c r="G80" i="10" s="1"/>
  <c r="E127" i="10"/>
  <c r="F127" i="10" s="1"/>
  <c r="G127" i="10" s="1"/>
  <c r="E36" i="10"/>
  <c r="F36" i="10" s="1"/>
  <c r="G36" i="10" s="1"/>
  <c r="E42" i="10"/>
  <c r="F42" i="10" s="1"/>
  <c r="G42" i="10" s="1"/>
  <c r="K137" i="10"/>
  <c r="K133" i="10"/>
  <c r="K72" i="10"/>
  <c r="E31" i="10"/>
  <c r="F31" i="10" s="1"/>
  <c r="G31" i="10" s="1"/>
  <c r="K39" i="10"/>
  <c r="K125" i="10"/>
  <c r="K34" i="10"/>
  <c r="K111" i="10"/>
  <c r="K89" i="10"/>
  <c r="K109" i="10"/>
  <c r="K77" i="10"/>
  <c r="K44" i="10"/>
  <c r="K106" i="10"/>
  <c r="E131" i="10"/>
  <c r="K69" i="10"/>
  <c r="K117" i="10"/>
  <c r="K27" i="10"/>
  <c r="K33" i="10"/>
  <c r="K81" i="10"/>
  <c r="K21" i="10"/>
  <c r="E136" i="10"/>
  <c r="F136" i="10" s="1"/>
  <c r="G136" i="10" s="1"/>
  <c r="E86" i="10"/>
  <c r="F86" i="10" s="1"/>
  <c r="G86" i="10" s="1"/>
  <c r="E103" i="10"/>
  <c r="F103" i="10" s="1"/>
  <c r="G103" i="10" s="1"/>
  <c r="E133" i="10"/>
  <c r="F133" i="10" s="1"/>
  <c r="G133" i="10" s="1"/>
  <c r="K24" i="10"/>
  <c r="E78" i="10"/>
  <c r="F78" i="10" s="1"/>
  <c r="G78" i="10" s="1"/>
  <c r="E54" i="10"/>
  <c r="F54" i="10" s="1"/>
  <c r="G54" i="10" s="1"/>
  <c r="K129" i="10"/>
  <c r="E87" i="10"/>
  <c r="F87" i="10" s="1"/>
  <c r="G87" i="10" s="1"/>
  <c r="E108" i="10"/>
  <c r="F108" i="10" s="1"/>
  <c r="G108" i="10" s="1"/>
  <c r="K91" i="10"/>
  <c r="E57" i="10"/>
  <c r="F57" i="10" s="1"/>
  <c r="G57" i="10" s="1"/>
  <c r="E120" i="10"/>
  <c r="F120" i="10" s="1"/>
  <c r="G120" i="10" s="1"/>
  <c r="K85" i="10"/>
  <c r="E56" i="10"/>
  <c r="F56" i="10" s="1"/>
  <c r="G56" i="10" s="1"/>
  <c r="E55" i="10"/>
  <c r="F55" i="10" s="1"/>
  <c r="G55" i="10" s="1"/>
  <c r="K123" i="10"/>
  <c r="K61" i="10"/>
  <c r="K102" i="10"/>
  <c r="K63" i="10"/>
  <c r="E89" i="10"/>
  <c r="F89" i="10" s="1"/>
  <c r="G89" i="10" s="1"/>
  <c r="E61" i="10"/>
  <c r="K101" i="10"/>
  <c r="K66" i="10"/>
  <c r="K26" i="10"/>
  <c r="E116" i="10"/>
  <c r="F116" i="10" s="1"/>
  <c r="G116" i="10" s="1"/>
  <c r="E40" i="10"/>
  <c r="F40" i="10" s="1"/>
  <c r="G40" i="10" s="1"/>
  <c r="K59" i="10"/>
  <c r="K93" i="10"/>
  <c r="E135" i="10"/>
  <c r="F135" i="10" s="1"/>
  <c r="G135" i="10" s="1"/>
  <c r="E109" i="10"/>
  <c r="F109" i="10" s="1"/>
  <c r="G109" i="10" s="1"/>
  <c r="E60" i="10"/>
  <c r="F60" i="10" s="1"/>
  <c r="G60" i="10" s="1"/>
  <c r="E130" i="10"/>
  <c r="F130" i="10" s="1"/>
  <c r="G130" i="10" s="1"/>
  <c r="E122" i="10"/>
  <c r="F122" i="10" s="1"/>
  <c r="G122" i="10" s="1"/>
  <c r="K46" i="10"/>
  <c r="K35" i="10"/>
  <c r="E132" i="10"/>
  <c r="F132" i="10" s="1"/>
  <c r="G132" i="10" s="1"/>
  <c r="E50" i="10"/>
  <c r="F50" i="10" s="1"/>
  <c r="G50" i="10" s="1"/>
  <c r="K19" i="10"/>
  <c r="E76" i="10"/>
  <c r="F76" i="10" s="1"/>
  <c r="G76" i="10" s="1"/>
  <c r="E93" i="10"/>
  <c r="F93" i="10" s="1"/>
  <c r="G93" i="10" s="1"/>
  <c r="K108" i="10"/>
  <c r="K62" i="10"/>
  <c r="E20" i="10"/>
  <c r="F20" i="10" s="1"/>
  <c r="G20" i="10" s="1"/>
  <c r="K84" i="10"/>
  <c r="E53" i="10"/>
  <c r="F53" i="10" s="1"/>
  <c r="G53" i="10" s="1"/>
  <c r="E128" i="10"/>
  <c r="F128" i="10" s="1"/>
  <c r="G128" i="10" s="1"/>
  <c r="K135" i="10"/>
  <c r="E97" i="10"/>
  <c r="F97" i="10" s="1"/>
  <c r="G97" i="10" s="1"/>
  <c r="E29" i="10"/>
  <c r="F29" i="10" s="1"/>
  <c r="G29" i="10" s="1"/>
  <c r="E85" i="10"/>
  <c r="F85" i="10" s="1"/>
  <c r="G85" i="10" s="1"/>
  <c r="K138" i="10"/>
  <c r="K25" i="10"/>
  <c r="E24" i="10"/>
  <c r="F24" i="10" s="1"/>
  <c r="G24" i="10" s="1"/>
  <c r="E21" i="10"/>
  <c r="F21" i="10" s="1"/>
  <c r="G21" i="10" s="1"/>
  <c r="K110" i="10"/>
  <c r="K116" i="10"/>
  <c r="K76" i="10"/>
  <c r="E138" i="10"/>
  <c r="F138" i="10" s="1"/>
  <c r="G138" i="10" s="1"/>
  <c r="K122" i="10"/>
  <c r="K60" i="10"/>
  <c r="K82" i="10"/>
  <c r="K88" i="10"/>
  <c r="K48" i="10"/>
  <c r="K99" i="10"/>
  <c r="E26" i="10"/>
  <c r="F26" i="10" s="1"/>
  <c r="G26" i="10" s="1"/>
  <c r="E71" i="10"/>
  <c r="K94" i="10"/>
  <c r="E124" i="10"/>
  <c r="F124" i="10" s="1"/>
  <c r="G124" i="10" s="1"/>
  <c r="K54" i="10"/>
  <c r="K32" i="10"/>
  <c r="K20" i="10"/>
  <c r="K71" i="10"/>
  <c r="K80" i="10"/>
  <c r="E96" i="10"/>
  <c r="F96" i="10" s="1"/>
  <c r="G96" i="10" s="1"/>
  <c r="E68" i="10"/>
  <c r="F68" i="10" s="1"/>
  <c r="G68" i="10" s="1"/>
  <c r="E33" i="10"/>
  <c r="F33" i="10" s="1"/>
  <c r="G33" i="10" s="1"/>
  <c r="E112" i="10"/>
  <c r="K43" i="10"/>
  <c r="K45" i="10"/>
  <c r="K38" i="10"/>
  <c r="E118" i="10"/>
  <c r="F118" i="10" s="1"/>
  <c r="G118" i="10" s="1"/>
  <c r="E84" i="10"/>
  <c r="F84" i="10" s="1"/>
  <c r="G84" i="10" s="1"/>
  <c r="K115" i="10"/>
  <c r="E90" i="10"/>
  <c r="F90" i="10" s="1"/>
  <c r="G90" i="10" s="1"/>
  <c r="K86" i="10"/>
  <c r="K37" i="10"/>
  <c r="E28" i="10"/>
  <c r="F28" i="10" s="1"/>
  <c r="G28" i="10" s="1"/>
  <c r="E107" i="10"/>
  <c r="F107" i="10" s="1"/>
  <c r="G107" i="10" s="1"/>
  <c r="E25" i="10"/>
  <c r="F25" i="10" s="1"/>
  <c r="G25" i="10" s="1"/>
  <c r="K107" i="10"/>
  <c r="E102" i="10"/>
  <c r="F102" i="10" s="1"/>
  <c r="G102" i="10" s="1"/>
  <c r="E106" i="10"/>
  <c r="F106" i="10" s="1"/>
  <c r="G106" i="10" s="1"/>
  <c r="E32" i="10"/>
  <c r="F32" i="10" s="1"/>
  <c r="G32" i="10" s="1"/>
  <c r="E64" i="10"/>
  <c r="F64" i="10" s="1"/>
  <c r="G64" i="10" s="1"/>
  <c r="K29" i="10"/>
  <c r="E22" i="10"/>
  <c r="F22" i="10" s="1"/>
  <c r="G22" i="10" s="1"/>
  <c r="K83" i="10"/>
  <c r="E65" i="10"/>
  <c r="F65" i="10" s="1"/>
  <c r="G65" i="10" s="1"/>
  <c r="E137" i="10"/>
  <c r="F137" i="10" s="1"/>
  <c r="G137" i="10" s="1"/>
  <c r="K50" i="10"/>
  <c r="E91" i="10"/>
  <c r="F91" i="10" s="1"/>
  <c r="G91" i="10" s="1"/>
  <c r="E77" i="10"/>
  <c r="F77" i="10" s="1"/>
  <c r="G77" i="10" s="1"/>
  <c r="E117" i="10"/>
  <c r="F117" i="10" s="1"/>
  <c r="G117" i="10" s="1"/>
  <c r="K87" i="10"/>
  <c r="E79" i="10"/>
  <c r="F79" i="10" s="1"/>
  <c r="G79" i="10" s="1"/>
  <c r="K31" i="10"/>
  <c r="E51" i="10"/>
  <c r="F51" i="10" s="1"/>
  <c r="G51" i="10" s="1"/>
  <c r="K121" i="10"/>
  <c r="K78" i="10"/>
  <c r="K36" i="10"/>
  <c r="K57" i="10"/>
  <c r="K98" i="10"/>
  <c r="E30" i="10"/>
  <c r="F30" i="10" s="1"/>
  <c r="G30" i="10" s="1"/>
  <c r="K40" i="10"/>
  <c r="E110" i="10"/>
  <c r="F110" i="10" s="1"/>
  <c r="G110" i="10" s="1"/>
  <c r="E43" i="10"/>
  <c r="F43" i="10" s="1"/>
  <c r="G43" i="10" s="1"/>
  <c r="E104" i="10"/>
  <c r="F104" i="10" s="1"/>
  <c r="G104" i="10" s="1"/>
  <c r="E115" i="10"/>
  <c r="F115" i="10" s="1"/>
  <c r="G115" i="10" s="1"/>
  <c r="K131" i="10"/>
  <c r="K90" i="10"/>
  <c r="E48" i="10"/>
  <c r="F48" i="10" s="1"/>
  <c r="G48" i="10" s="1"/>
  <c r="K134" i="10"/>
  <c r="K74" i="10"/>
  <c r="E119" i="10"/>
  <c r="E82" i="10"/>
  <c r="F82" i="10" s="1"/>
  <c r="G82" i="10" s="1"/>
  <c r="E98" i="10"/>
  <c r="F98" i="10" s="1"/>
  <c r="G98" i="10" s="1"/>
  <c r="K128" i="10"/>
  <c r="K95" i="10"/>
  <c r="E63" i="10"/>
  <c r="F63" i="10" s="1"/>
  <c r="G63" i="10" s="1"/>
  <c r="K53" i="10"/>
  <c r="E75" i="10"/>
  <c r="E125" i="10"/>
  <c r="E41" i="10"/>
  <c r="F41" i="10" s="1"/>
  <c r="G41" i="10" s="1"/>
  <c r="K104" i="10"/>
  <c r="E47" i="10"/>
  <c r="F47" i="10" s="1"/>
  <c r="G47" i="10" s="1"/>
  <c r="E69" i="10"/>
  <c r="F69" i="10" s="1"/>
  <c r="G69" i="10" s="1"/>
  <c r="K127" i="10"/>
  <c r="E62" i="10"/>
  <c r="K30" i="10"/>
  <c r="E101" i="10"/>
  <c r="F101" i="10" s="1"/>
  <c r="G101" i="10" s="1"/>
  <c r="K103" i="10"/>
  <c r="E52" i="10"/>
  <c r="F52" i="10" s="1"/>
  <c r="G52" i="10" s="1"/>
  <c r="K23" i="10"/>
  <c r="E74" i="10"/>
  <c r="F74" i="10" s="1"/>
  <c r="G74" i="10" s="1"/>
  <c r="E34" i="10"/>
  <c r="F34" i="10" s="1"/>
  <c r="G34" i="10" s="1"/>
  <c r="E94" i="10"/>
  <c r="F94" i="10" s="1"/>
  <c r="G94" i="10" s="1"/>
  <c r="E45" i="10"/>
  <c r="F45" i="10" s="1"/>
  <c r="G45" i="10" s="1"/>
  <c r="K75" i="10"/>
  <c r="K97" i="10"/>
  <c r="E59" i="10"/>
  <c r="F59" i="10" s="1"/>
  <c r="G59" i="10" s="1"/>
  <c r="E46" i="10"/>
  <c r="F46" i="10" s="1"/>
  <c r="G46" i="10" s="1"/>
  <c r="E123" i="10"/>
  <c r="F123" i="10" s="1"/>
  <c r="G123" i="10" s="1"/>
  <c r="E38" i="10"/>
  <c r="F38" i="10" s="1"/>
  <c r="G38" i="10" s="1"/>
  <c r="K120" i="10"/>
  <c r="K47" i="10"/>
  <c r="E23" i="10"/>
  <c r="F23" i="10" s="1"/>
  <c r="G23" i="10" s="1"/>
  <c r="E95" i="10"/>
  <c r="F95" i="10" s="1"/>
  <c r="G95" i="10" s="1"/>
  <c r="K65" i="10"/>
  <c r="K113" i="10"/>
  <c r="E19" i="10"/>
  <c r="F19" i="10" s="1"/>
  <c r="G19" i="10" s="1"/>
  <c r="K126" i="10"/>
  <c r="E105" i="10"/>
  <c r="F105" i="10" s="1"/>
  <c r="G105" i="10" s="1"/>
  <c r="K22" i="10"/>
  <c r="E67" i="10"/>
  <c r="E129" i="10"/>
  <c r="F129" i="10" s="1"/>
  <c r="G129" i="10" s="1"/>
  <c r="E100" i="10"/>
  <c r="F100" i="10" s="1"/>
  <c r="G100" i="10" s="1"/>
  <c r="E111" i="10"/>
  <c r="F111" i="10" s="1"/>
  <c r="G111" i="10" s="1"/>
  <c r="E49" i="10"/>
  <c r="F49" i="10" s="1"/>
  <c r="G49" i="10" s="1"/>
  <c r="E39" i="10"/>
  <c r="F39" i="10" s="1"/>
  <c r="G39" i="10" s="1"/>
  <c r="E121" i="10"/>
  <c r="F121" i="10" s="1"/>
  <c r="G121" i="10" s="1"/>
  <c r="K119" i="10"/>
  <c r="E83" i="10"/>
  <c r="F83" i="10" s="1"/>
  <c r="G83" i="10" s="1"/>
  <c r="K70" i="10"/>
  <c r="K124" i="10"/>
  <c r="B9" i="9"/>
  <c r="B12" i="10" s="1" a="1"/>
  <c r="B12" i="10" s="1"/>
  <c r="B145" i="10" s="1" a="1"/>
  <c r="B145" i="10" s="1"/>
  <c r="D8" i="9" a="1"/>
  <c r="D8" i="9" s="1"/>
  <c r="F61" i="10"/>
  <c r="G61" i="10" s="1"/>
  <c r="F113" i="10"/>
  <c r="G113" i="10" s="1"/>
  <c r="F67" i="10"/>
  <c r="G67" i="10" s="1"/>
  <c r="F119" i="10"/>
  <c r="G119" i="10" s="1"/>
  <c r="F71" i="10"/>
  <c r="G71" i="10" s="1"/>
  <c r="F62" i="10"/>
  <c r="G62" i="10" s="1"/>
  <c r="F75" i="10"/>
  <c r="G75" i="10" s="1"/>
  <c r="F125" i="10"/>
  <c r="G125" i="10" s="1"/>
  <c r="B12" i="4"/>
  <c r="B28" i="10" a="1"/>
  <c r="B28" i="10" s="1"/>
  <c r="F112" i="10"/>
  <c r="G112" i="10" s="1"/>
  <c r="F88" i="10"/>
  <c r="G88" i="10" s="1"/>
  <c r="F131" i="10"/>
  <c r="G131" i="10" s="1"/>
  <c r="B10" i="9" l="1"/>
  <c r="D9" i="9" a="1"/>
  <c r="D9" i="9" s="1"/>
  <c r="B14" i="10" s="1" a="1"/>
  <c r="B14" i="10" s="1"/>
  <c r="G140" i="10"/>
  <c r="B13" i="4"/>
  <c r="B29" i="10" a="1"/>
  <c r="B29" i="10" s="1"/>
  <c r="B11" i="9" l="1"/>
  <c r="D10" i="9" a="1"/>
  <c r="D10" i="9" s="1"/>
  <c r="H47" i="10"/>
  <c r="H75" i="10"/>
  <c r="H103" i="10"/>
  <c r="H131" i="10"/>
  <c r="H20" i="10"/>
  <c r="H48" i="10"/>
  <c r="H76" i="10"/>
  <c r="H104" i="10"/>
  <c r="H132" i="10"/>
  <c r="H21" i="10"/>
  <c r="H49" i="10"/>
  <c r="H77" i="10"/>
  <c r="H105" i="10"/>
  <c r="H133" i="10"/>
  <c r="H22" i="10"/>
  <c r="H50" i="10"/>
  <c r="H78" i="10"/>
  <c r="H106" i="10"/>
  <c r="H134" i="10"/>
  <c r="H23" i="10"/>
  <c r="H51" i="10"/>
  <c r="H79" i="10"/>
  <c r="H107" i="10"/>
  <c r="H135" i="10"/>
  <c r="H24" i="10"/>
  <c r="H52" i="10"/>
  <c r="H80" i="10"/>
  <c r="H108" i="10"/>
  <c r="H136" i="10"/>
  <c r="H25" i="10"/>
  <c r="H53" i="10"/>
  <c r="H81" i="10"/>
  <c r="H109" i="10"/>
  <c r="H137" i="10"/>
  <c r="H26" i="10"/>
  <c r="H54" i="10"/>
  <c r="H82" i="10"/>
  <c r="H110" i="10"/>
  <c r="H138" i="10"/>
  <c r="H27" i="10"/>
  <c r="H55" i="10"/>
  <c r="H83" i="10"/>
  <c r="H111" i="10"/>
  <c r="H28" i="10"/>
  <c r="H56" i="10"/>
  <c r="H84" i="10"/>
  <c r="H112" i="10"/>
  <c r="H29" i="10"/>
  <c r="H57" i="10"/>
  <c r="H85" i="10"/>
  <c r="H113" i="10"/>
  <c r="H30" i="10"/>
  <c r="H58" i="10"/>
  <c r="H86" i="10"/>
  <c r="H114" i="10"/>
  <c r="H31" i="10"/>
  <c r="H59" i="10"/>
  <c r="H87" i="10"/>
  <c r="H115" i="10"/>
  <c r="H32" i="10"/>
  <c r="H60" i="10"/>
  <c r="H88" i="10"/>
  <c r="H116" i="10"/>
  <c r="H33" i="10"/>
  <c r="H61" i="10"/>
  <c r="H89" i="10"/>
  <c r="H117" i="10"/>
  <c r="H34" i="10"/>
  <c r="H62" i="10"/>
  <c r="H90" i="10"/>
  <c r="H118" i="10"/>
  <c r="H35" i="10"/>
  <c r="H63" i="10"/>
  <c r="H91" i="10"/>
  <c r="H119" i="10"/>
  <c r="H36" i="10"/>
  <c r="H64" i="10"/>
  <c r="H92" i="10"/>
  <c r="H120" i="10"/>
  <c r="H37" i="10"/>
  <c r="H65" i="10"/>
  <c r="H93" i="10"/>
  <c r="H121" i="10"/>
  <c r="H38" i="10"/>
  <c r="H66" i="10"/>
  <c r="H94" i="10"/>
  <c r="H122" i="10"/>
  <c r="H39" i="10"/>
  <c r="H67" i="10"/>
  <c r="H95" i="10"/>
  <c r="H123" i="10"/>
  <c r="H40" i="10"/>
  <c r="H68" i="10"/>
  <c r="H96" i="10"/>
  <c r="H124" i="10"/>
  <c r="H41" i="10"/>
  <c r="H69" i="10"/>
  <c r="H97" i="10"/>
  <c r="H125" i="10"/>
  <c r="H42" i="10"/>
  <c r="H70" i="10"/>
  <c r="H98" i="10"/>
  <c r="H126" i="10"/>
  <c r="H43" i="10"/>
  <c r="H71" i="10"/>
  <c r="H99" i="10"/>
  <c r="H127" i="10"/>
  <c r="H44" i="10"/>
  <c r="H72" i="10"/>
  <c r="H100" i="10"/>
  <c r="H128" i="10"/>
  <c r="H45" i="10"/>
  <c r="H73" i="10"/>
  <c r="H101" i="10"/>
  <c r="H129" i="10"/>
  <c r="H46" i="10"/>
  <c r="H74" i="10"/>
  <c r="H102" i="10"/>
  <c r="H130" i="10"/>
  <c r="H19" i="10"/>
  <c r="B14" i="4"/>
  <c r="B30" i="10" a="1"/>
  <c r="B30" i="10" s="1"/>
  <c r="B12" i="9" l="1"/>
  <c r="D11" i="9" a="1"/>
  <c r="D11" i="9" s="1"/>
  <c r="H140" i="10"/>
  <c r="I90" i="10" s="1"/>
  <c r="B15" i="4"/>
  <c r="B31" i="10" a="1"/>
  <c r="B31" i="10" s="1"/>
  <c r="I118" i="10" l="1"/>
  <c r="I133" i="10"/>
  <c r="I64" i="10"/>
  <c r="I23" i="10"/>
  <c r="I29" i="10"/>
  <c r="I43" i="10"/>
  <c r="I51" i="10"/>
  <c r="I57" i="10"/>
  <c r="I79" i="10"/>
  <c r="I120" i="10"/>
  <c r="I89" i="10"/>
  <c r="I49" i="10"/>
  <c r="I77" i="10"/>
  <c r="I41" i="10"/>
  <c r="I55" i="10"/>
  <c r="I62" i="10"/>
  <c r="B13" i="9"/>
  <c r="D13" i="9" s="1" a="1"/>
  <c r="D13" i="9" s="1"/>
  <c r="D12" i="9" a="1"/>
  <c r="D12" i="9" s="1"/>
  <c r="I53" i="10"/>
  <c r="I126" i="10"/>
  <c r="I134" i="10"/>
  <c r="I35" i="10"/>
  <c r="I85" i="10"/>
  <c r="I116" i="10"/>
  <c r="I115" i="10"/>
  <c r="I19" i="10"/>
  <c r="I63" i="10"/>
  <c r="I33" i="10"/>
  <c r="I122" i="10"/>
  <c r="I26" i="10"/>
  <c r="I102" i="10"/>
  <c r="I127" i="10"/>
  <c r="I112" i="10"/>
  <c r="I137" i="10"/>
  <c r="I119" i="10"/>
  <c r="I27" i="10"/>
  <c r="I68" i="10"/>
  <c r="I106" i="10"/>
  <c r="I28" i="10"/>
  <c r="I128" i="10"/>
  <c r="I61" i="10"/>
  <c r="I99" i="10"/>
  <c r="I39" i="10"/>
  <c r="I123" i="10"/>
  <c r="I46" i="10"/>
  <c r="I58" i="10"/>
  <c r="I20" i="10"/>
  <c r="I56" i="10"/>
  <c r="I109" i="10"/>
  <c r="I81" i="10"/>
  <c r="I73" i="10"/>
  <c r="I66" i="10"/>
  <c r="I50" i="10"/>
  <c r="I87" i="10"/>
  <c r="I95" i="10"/>
  <c r="I84" i="10"/>
  <c r="I25" i="10"/>
  <c r="I47" i="10"/>
  <c r="I129" i="10"/>
  <c r="I94" i="10"/>
  <c r="I136" i="10"/>
  <c r="I59" i="10"/>
  <c r="I92" i="10"/>
  <c r="I70" i="10"/>
  <c r="I71" i="10"/>
  <c r="I76" i="10"/>
  <c r="I48" i="10"/>
  <c r="I91" i="10"/>
  <c r="I113" i="10"/>
  <c r="I65" i="10"/>
  <c r="I36" i="10"/>
  <c r="I117" i="10"/>
  <c r="I72" i="10"/>
  <c r="I131" i="10"/>
  <c r="I104" i="10"/>
  <c r="I42" i="10"/>
  <c r="I40" i="10"/>
  <c r="I74" i="10"/>
  <c r="I24" i="10"/>
  <c r="I75" i="10"/>
  <c r="I38" i="10"/>
  <c r="I88" i="10"/>
  <c r="I135" i="10"/>
  <c r="I101" i="10"/>
  <c r="I30" i="10"/>
  <c r="I60" i="10"/>
  <c r="I37" i="10"/>
  <c r="I130" i="10"/>
  <c r="I44" i="10"/>
  <c r="I54" i="10"/>
  <c r="I52" i="10"/>
  <c r="I82" i="10"/>
  <c r="I86" i="10"/>
  <c r="I21" i="10"/>
  <c r="I93" i="10"/>
  <c r="I96" i="10"/>
  <c r="I100" i="10"/>
  <c r="I138" i="10"/>
  <c r="I80" i="10"/>
  <c r="I124" i="10"/>
  <c r="I114" i="10"/>
  <c r="I34" i="10"/>
  <c r="I121" i="10"/>
  <c r="I105" i="10"/>
  <c r="I108" i="10"/>
  <c r="I69" i="10"/>
  <c r="I31" i="10"/>
  <c r="I83" i="10"/>
  <c r="I45" i="10"/>
  <c r="I97" i="10"/>
  <c r="I103" i="10"/>
  <c r="I111" i="10"/>
  <c r="I32" i="10"/>
  <c r="I125" i="10"/>
  <c r="I67" i="10"/>
  <c r="I78" i="10"/>
  <c r="I132" i="10"/>
  <c r="I98" i="10"/>
  <c r="I110" i="10"/>
  <c r="I107" i="10"/>
  <c r="I22" i="10"/>
  <c r="B16" i="4"/>
  <c r="B32" i="10" a="1"/>
  <c r="B32" i="10" s="1"/>
  <c r="B142" i="10" l="1"/>
  <c r="B143" i="10" s="1"/>
  <c r="B144" i="10" s="1"/>
  <c r="B17" i="4"/>
  <c r="B33" i="10" a="1"/>
  <c r="B33" i="10" s="1"/>
  <c r="B146" i="10" l="1"/>
  <c r="B149" i="10"/>
  <c r="B18" i="4"/>
  <c r="B34" i="10" a="1"/>
  <c r="B34" i="10" s="1"/>
  <c r="B150" i="10" l="1"/>
  <c r="B147" i="10"/>
  <c r="B19" i="4"/>
  <c r="B35" i="10" a="1"/>
  <c r="B35" i="10" s="1"/>
  <c r="B20" i="4" l="1"/>
  <c r="B36" i="10" a="1"/>
  <c r="B36" i="10" s="1"/>
  <c r="B21" i="4" l="1"/>
  <c r="B37" i="10" a="1"/>
  <c r="B37" i="10" s="1"/>
  <c r="B22" i="4" l="1"/>
  <c r="B38" i="10" a="1"/>
  <c r="B38" i="10" s="1"/>
  <c r="B23" i="4" l="1"/>
  <c r="B39" i="10" a="1"/>
  <c r="B39" i="10" s="1"/>
  <c r="B24" i="4" l="1"/>
  <c r="B40" i="10" a="1"/>
  <c r="B40" i="10" s="1"/>
  <c r="B25" i="4" l="1"/>
  <c r="B41" i="10" a="1"/>
  <c r="B41" i="10" s="1"/>
  <c r="B26" i="4" l="1"/>
  <c r="B42" i="10" a="1"/>
  <c r="B42" i="10" s="1"/>
  <c r="B27" i="4" l="1"/>
  <c r="B43" i="10" a="1"/>
  <c r="B43" i="10" s="1"/>
  <c r="B28" i="4" l="1"/>
  <c r="B44" i="10" a="1"/>
  <c r="B44" i="10" s="1"/>
  <c r="B29" i="4" l="1"/>
  <c r="B45" i="10" a="1"/>
  <c r="B45" i="10" s="1"/>
  <c r="B30" i="4" l="1"/>
  <c r="B46" i="10" a="1"/>
  <c r="B46" i="10" s="1"/>
  <c r="B31" i="4" l="1"/>
  <c r="B47" i="10" a="1"/>
  <c r="B47" i="10" s="1"/>
  <c r="B32" i="4" l="1"/>
  <c r="B48" i="10" a="1"/>
  <c r="B48" i="10" s="1"/>
  <c r="B33" i="4" l="1"/>
  <c r="B49" i="10" a="1"/>
  <c r="B49" i="10" s="1"/>
  <c r="B34" i="4" l="1"/>
  <c r="B50" i="10" a="1"/>
  <c r="B50" i="10" s="1"/>
  <c r="B35" i="4" l="1"/>
  <c r="B51" i="10" a="1"/>
  <c r="B51" i="10" s="1"/>
  <c r="B36" i="4" l="1"/>
  <c r="B52" i="10" a="1"/>
  <c r="B52" i="10" s="1"/>
  <c r="B37" i="4" l="1"/>
  <c r="B53" i="10" a="1"/>
  <c r="B53" i="10" s="1"/>
  <c r="B38" i="4" l="1"/>
  <c r="B54" i="10" a="1"/>
  <c r="B54" i="10" s="1"/>
  <c r="B39" i="4" l="1"/>
  <c r="B55" i="10" a="1"/>
  <c r="B55" i="10" s="1"/>
  <c r="B40" i="4" l="1"/>
  <c r="B56" i="10" a="1"/>
  <c r="B56" i="10" s="1"/>
  <c r="B41" i="4" l="1"/>
  <c r="B57" i="10" a="1"/>
  <c r="B57" i="10" s="1"/>
  <c r="B42" i="4" l="1"/>
  <c r="B58" i="10" a="1"/>
  <c r="B58" i="10" s="1"/>
  <c r="B43" i="4" l="1"/>
  <c r="B59" i="10" a="1"/>
  <c r="B59" i="10" s="1"/>
  <c r="B44" i="4" l="1"/>
  <c r="B60" i="10" a="1"/>
  <c r="B60" i="10" s="1"/>
  <c r="B45" i="4" l="1"/>
  <c r="B61" i="10" a="1"/>
  <c r="B61" i="10" s="1"/>
  <c r="B46" i="4" l="1"/>
  <c r="B62" i="10" a="1"/>
  <c r="B62" i="10" s="1"/>
  <c r="B47" i="4" l="1"/>
  <c r="B63" i="10" a="1"/>
  <c r="B63" i="10" s="1"/>
  <c r="B48" i="4" l="1"/>
  <c r="B64" i="10" a="1"/>
  <c r="B64" i="10" s="1"/>
  <c r="B49" i="4" l="1"/>
  <c r="B65" i="10" a="1"/>
  <c r="B65" i="10" s="1"/>
  <c r="B50" i="4" l="1"/>
  <c r="B66" i="10" a="1"/>
  <c r="B66" i="10" s="1"/>
  <c r="B51" i="4" l="1"/>
  <c r="B67" i="10" a="1"/>
  <c r="B67" i="10" s="1"/>
  <c r="B52" i="4" l="1"/>
  <c r="B68" i="10" a="1"/>
  <c r="B68" i="10" s="1"/>
  <c r="B53" i="4" l="1"/>
  <c r="B69" i="10" a="1"/>
  <c r="B69" i="10" s="1"/>
  <c r="B54" i="4" l="1"/>
  <c r="B70" i="10" a="1"/>
  <c r="B70" i="10" s="1"/>
  <c r="B55" i="4" l="1"/>
  <c r="B71" i="10" a="1"/>
  <c r="B71" i="10" s="1"/>
  <c r="B56" i="4" l="1"/>
  <c r="B72" i="10" a="1"/>
  <c r="B72" i="10" s="1"/>
  <c r="B57" i="4" l="1"/>
  <c r="B73" i="10" a="1"/>
  <c r="B73" i="10" s="1"/>
  <c r="B58" i="4" l="1"/>
  <c r="B74" i="10" a="1"/>
  <c r="B74" i="10" s="1"/>
  <c r="B59" i="4" l="1"/>
  <c r="B75" i="10" a="1"/>
  <c r="B75" i="10" s="1"/>
  <c r="B60" i="4" l="1"/>
  <c r="B76" i="10" a="1"/>
  <c r="B76" i="10" s="1"/>
  <c r="B61" i="4" l="1"/>
  <c r="B77" i="10" a="1"/>
  <c r="B77" i="10" s="1"/>
  <c r="B62" i="4" l="1"/>
  <c r="B78" i="10" a="1"/>
  <c r="B78" i="10" s="1"/>
  <c r="B63" i="4" l="1"/>
  <c r="B79" i="10" a="1"/>
  <c r="B79" i="10" s="1"/>
  <c r="B64" i="4" l="1"/>
  <c r="B80" i="10" a="1"/>
  <c r="B80" i="10" s="1"/>
  <c r="B65" i="4" l="1"/>
  <c r="B81" i="10" a="1"/>
  <c r="B81" i="10" s="1"/>
  <c r="B66" i="4" l="1"/>
  <c r="B82" i="10" a="1"/>
  <c r="B82" i="10" s="1"/>
  <c r="B67" i="4" l="1"/>
  <c r="B83" i="10" a="1"/>
  <c r="B83" i="10" s="1"/>
  <c r="B68" i="4" l="1"/>
  <c r="B84" i="10" a="1"/>
  <c r="B84" i="10" s="1"/>
  <c r="B69" i="4" l="1"/>
  <c r="B85" i="10" a="1"/>
  <c r="B85" i="10" s="1"/>
  <c r="B70" i="4" l="1"/>
  <c r="B86" i="10" a="1"/>
  <c r="B86" i="10" s="1"/>
  <c r="B71" i="4" l="1"/>
  <c r="B87" i="10" a="1"/>
  <c r="B87" i="10" s="1"/>
  <c r="B72" i="4" l="1"/>
  <c r="B88" i="10" a="1"/>
  <c r="B88" i="10" s="1"/>
  <c r="B73" i="4" l="1"/>
  <c r="B89" i="10" a="1"/>
  <c r="B89" i="10" s="1"/>
  <c r="B74" i="4" l="1"/>
  <c r="B90" i="10" a="1"/>
  <c r="B90" i="10" s="1"/>
  <c r="B75" i="4" l="1"/>
  <c r="B91" i="10" a="1"/>
  <c r="B91" i="10" s="1"/>
  <c r="B76" i="4" l="1"/>
  <c r="B92" i="10" a="1"/>
  <c r="B92" i="10" s="1"/>
  <c r="B77" i="4" l="1"/>
  <c r="B93" i="10" a="1"/>
  <c r="B93" i="10" s="1"/>
  <c r="B78" i="4" l="1"/>
  <c r="B94" i="10" a="1"/>
  <c r="B94" i="10" s="1"/>
  <c r="B79" i="4" l="1"/>
  <c r="B95" i="10" a="1"/>
  <c r="B95" i="10" s="1"/>
  <c r="B80" i="4" l="1"/>
  <c r="B96" i="10" a="1"/>
  <c r="B96" i="10" s="1"/>
  <c r="B81" i="4" l="1"/>
  <c r="B97" i="10" a="1"/>
  <c r="B97" i="10" s="1"/>
  <c r="B82" i="4" l="1"/>
  <c r="B98" i="10" a="1"/>
  <c r="B98" i="10" s="1"/>
  <c r="B83" i="4" l="1"/>
  <c r="B99" i="10" a="1"/>
  <c r="B99" i="10" s="1"/>
  <c r="B84" i="4" l="1"/>
  <c r="B100" i="10" a="1"/>
  <c r="B100" i="10" s="1"/>
  <c r="B85" i="4" l="1"/>
  <c r="B101" i="10" a="1"/>
  <c r="B101" i="10" s="1"/>
  <c r="B86" i="4" l="1"/>
  <c r="B102" i="10" a="1"/>
  <c r="B102" i="10" s="1"/>
  <c r="B87" i="4" l="1"/>
  <c r="B103" i="10" a="1"/>
  <c r="B103" i="10" s="1"/>
  <c r="B88" i="4" l="1"/>
  <c r="B104" i="10" a="1"/>
  <c r="B104" i="10" s="1"/>
  <c r="B89" i="4" l="1"/>
  <c r="B105" i="10" a="1"/>
  <c r="B105" i="10" s="1"/>
  <c r="B90" i="4" l="1"/>
  <c r="B106" i="10" a="1"/>
  <c r="B106" i="10" s="1"/>
  <c r="B91" i="4" l="1"/>
  <c r="B107" i="10" a="1"/>
  <c r="B107" i="10" s="1"/>
  <c r="B92" i="4" l="1"/>
  <c r="B108" i="10" a="1"/>
  <c r="B108" i="10" s="1"/>
  <c r="B93" i="4" l="1"/>
  <c r="B109" i="10" a="1"/>
  <c r="B109" i="10" s="1"/>
  <c r="B94" i="4" l="1"/>
  <c r="B110" i="10" a="1"/>
  <c r="B110" i="10" s="1"/>
  <c r="B95" i="4" l="1"/>
  <c r="B111" i="10" a="1"/>
  <c r="B111" i="10" s="1"/>
  <c r="B96" i="4" l="1"/>
  <c r="B112" i="10" a="1"/>
  <c r="B112" i="10" s="1"/>
  <c r="B97" i="4" l="1"/>
  <c r="B113" i="10" a="1"/>
  <c r="B113" i="10" s="1"/>
  <c r="B98" i="4" l="1"/>
  <c r="B114" i="10" a="1"/>
  <c r="B114" i="10" s="1"/>
  <c r="B99" i="4" l="1"/>
  <c r="B115" i="10" a="1"/>
  <c r="B115" i="10" s="1"/>
  <c r="B100" i="4" l="1"/>
  <c r="B116" i="10" a="1"/>
  <c r="B116" i="10" s="1"/>
  <c r="B101" i="4" l="1"/>
  <c r="B117" i="10" a="1"/>
  <c r="B117" i="10" s="1"/>
  <c r="B102" i="4" l="1"/>
  <c r="B118" i="10" a="1"/>
  <c r="B118" i="10" s="1"/>
  <c r="B103" i="4" l="1"/>
  <c r="B119" i="10" a="1"/>
  <c r="B119" i="10" s="1"/>
  <c r="B104" i="4" l="1"/>
  <c r="B120" i="10" a="1"/>
  <c r="B120" i="10" s="1"/>
  <c r="B105" i="4" l="1"/>
  <c r="B121" i="10" a="1"/>
  <c r="B121" i="10" s="1"/>
  <c r="B106" i="4" l="1"/>
  <c r="B122" i="10" a="1"/>
  <c r="B122" i="10" s="1"/>
  <c r="B107" i="4" l="1"/>
  <c r="B123" i="10" a="1"/>
  <c r="B123" i="10" s="1"/>
  <c r="B108" i="4" l="1"/>
  <c r="B124" i="10" a="1"/>
  <c r="B124" i="10" s="1"/>
  <c r="B109" i="4" l="1"/>
  <c r="B125" i="10" a="1"/>
  <c r="B125" i="10" s="1"/>
  <c r="B110" i="4" l="1"/>
  <c r="B126" i="10" a="1"/>
  <c r="B126" i="10" s="1"/>
  <c r="B111" i="4" l="1"/>
  <c r="B127" i="10" a="1"/>
  <c r="B127" i="10" s="1"/>
  <c r="B112" i="4" l="1"/>
  <c r="B128" i="10" a="1"/>
  <c r="B128" i="10" s="1"/>
  <c r="B113" i="4" l="1"/>
  <c r="B129" i="10" a="1"/>
  <c r="B129" i="10" s="1"/>
  <c r="B114" i="4" l="1"/>
  <c r="B130" i="10" a="1"/>
  <c r="B130" i="10" s="1"/>
  <c r="B115" i="4" l="1"/>
  <c r="B131" i="10" a="1"/>
  <c r="B131" i="10" s="1"/>
  <c r="B116" i="4" l="1"/>
  <c r="B132" i="10" a="1"/>
  <c r="B132" i="10" s="1"/>
  <c r="B117" i="4" l="1"/>
  <c r="B133" i="10" a="1"/>
  <c r="B133" i="10" s="1"/>
  <c r="B118" i="4" l="1"/>
  <c r="B134" i="10" a="1"/>
  <c r="B134" i="10" s="1"/>
  <c r="B119" i="4" l="1"/>
  <c r="B135" i="10" a="1"/>
  <c r="B135" i="10" s="1"/>
  <c r="B120" i="4" l="1"/>
  <c r="B136" i="10" a="1"/>
  <c r="B136" i="10" s="1"/>
  <c r="B121" i="4" l="1"/>
  <c r="B138" i="10" s="1" a="1"/>
  <c r="B138" i="10" s="1"/>
  <c r="B137" i="10" a="1"/>
  <c r="B137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<sst xmlns="http://schemas.openxmlformats.org/spreadsheetml/2006/main" count="297" uniqueCount="265">
  <si>
    <t>Month</t>
  </si>
  <si>
    <t>Passengers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</si>
  <si>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</si>
  <si>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</si>
  <si>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</si>
  <si>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</si>
  <si>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</si>
  <si>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</si>
  <si>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</si>
  <si>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</si>
  <si>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</si>
  <si>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</si>
  <si>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</si>
  <si>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</si>
  <si>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</si>
  <si>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</si>
  <si>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</si>
  <si>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</si>
  <si>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</si>
  <si>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</si>
  <si>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</si>
  <si>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</si>
  <si>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</si>
  <si>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</si>
  <si>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</si>
  <si>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</si>
  <si>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</si>
  <si>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</si>
  <si>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</si>
  <si>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</si>
  <si>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</si>
  <si>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</si>
  <si>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</si>
  <si>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</si>
  <si>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</si>
  <si>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</si>
  <si>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</si>
  <si>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</si>
  <si>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</si>
  <si>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</si>
  <si>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</si>
  <si>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</si>
  <si>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</si>
  <si>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</si>
  <si>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</si>
  <si>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</si>
  <si>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</si>
  <si>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</si>
  <si>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</si>
  <si>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</si>
  <si>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</si>
  <si>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</si>
  <si>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</si>
  <si>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</si>
  <si>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</si>
  <si>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</si>
  <si>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</si>
  <si>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</si>
  <si>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</si>
  <si>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</si>
  <si>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</si>
  <si>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</si>
  <si>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</si>
  <si>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</si>
  <si>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</si>
  <si>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</si>
  <si>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</si>
  <si>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</si>
  <si>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</si>
  <si>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</si>
  <si>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</si>
  <si>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</si>
  <si>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</si>
  <si>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</si>
  <si>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</si>
  <si>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</si>
  <si>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</si>
  <si>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</si>
  <si>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</si>
  <si>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</si>
  <si>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</si>
  <si>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</si>
  <si>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</si>
  <si>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</si>
  <si>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</si>
  <si>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</si>
  <si>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</si>
  <si>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</si>
  <si>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</si>
  <si>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</si>
  <si>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</si>
  <si>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</si>
  <si>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</si>
  <si>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</si>
  <si>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</si>
  <si>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</si>
  <si>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</si>
  <si>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</si>
  <si>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</si>
  <si>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</si>
  <si>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</si>
  <si>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</si>
  <si>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</si>
  <si>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</si>
  <si>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</si>
  <si>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</si>
  <si>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</si>
  <si>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</si>
  <si>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</si>
  <si>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</si>
  <si>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</si>
  <si>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</si>
  <si>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</si>
  <si>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</si>
  <si>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</si>
  <si>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</si>
  <si>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</si>
  <si>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</si>
  <si>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</si>
  <si>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</si>
  <si>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</si>
  <si>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</si>
  <si>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</si>
  <si>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</si>
  <si>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</si>
  <si>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</si>
  <si>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</si>
  <si>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</si>
  <si>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</si>
  <si>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</si>
  <si>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</si>
  <si>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</si>
  <si>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</si>
  <si>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</si>
  <si>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</si>
  <si>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</si>
  <si>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</si>
  <si>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</si>
  <si>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</si>
  <si>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</si>
  <si>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</si>
  <si>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</si>
  <si>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</si>
  <si>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</si>
  <si>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</si>
  <si>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</si>
  <si>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Train flag</t>
  </si>
  <si>
    <t>train_end_idx</t>
  </si>
  <si>
    <t>Index</t>
  </si>
  <si>
    <t>Log(Passengers)</t>
  </si>
  <si>
    <t>z-score</t>
  </si>
  <si>
    <t>IsTrain</t>
  </si>
  <si>
    <t>WindowID</t>
  </si>
  <si>
    <t>EndIndex</t>
  </si>
  <si>
    <t>Lag1</t>
  </si>
  <si>
    <t>Lag2</t>
  </si>
  <si>
    <t>Lag3</t>
  </si>
  <si>
    <t>Lag4</t>
  </si>
  <si>
    <t>Lag5</t>
  </si>
  <si>
    <t>Lag6</t>
  </si>
  <si>
    <t>Lag7</t>
  </si>
  <si>
    <t>Lag8</t>
  </si>
  <si>
    <t>Lag9</t>
  </si>
  <si>
    <t>Lag10</t>
  </si>
  <si>
    <t>Lag11</t>
  </si>
  <si>
    <t>Lag12</t>
  </si>
  <si>
    <t>Target</t>
  </si>
  <si>
    <t>ActualNextMonth</t>
  </si>
  <si>
    <t>WindowNorm</t>
  </si>
  <si>
    <t>Dropdown selector</t>
  </si>
  <si>
    <t>Selected TestID</t>
  </si>
  <si>
    <t>Temperature (tau)</t>
  </si>
  <si>
    <t>Epsilon (eps)</t>
  </si>
  <si>
    <t>Reference Window</t>
  </si>
  <si>
    <t>TargetMonth</t>
  </si>
  <si>
    <t>TrainID</t>
  </si>
  <si>
    <t>DotProduct</t>
  </si>
  <si>
    <t>CosSimilarity</t>
  </si>
  <si>
    <t>ScaledSimilarity</t>
  </si>
  <si>
    <t>ExpScaled</t>
  </si>
  <si>
    <t>Weight</t>
  </si>
  <si>
    <t>Target_z</t>
  </si>
  <si>
    <t>Forecast Summary</t>
  </si>
  <si>
    <t>Predicted_z</t>
  </si>
  <si>
    <t>Predicted_Log</t>
  </si>
  <si>
    <t>Predicted_Raw</t>
  </si>
  <si>
    <t>Actual_NextMonth</t>
  </si>
  <si>
    <t>Error</t>
  </si>
  <si>
    <t>Abs_Pct_Error</t>
  </si>
  <si>
    <t>a_max</t>
  </si>
  <si>
    <t>TestID</t>
  </si>
  <si>
    <t>Title:</t>
  </si>
  <si>
    <t>Attention-Based Time Series Forecasting (Excel Implementation)</t>
  </si>
  <si>
    <t>Author:</t>
  </si>
  <si>
    <t>Chandrakant Maheshwari</t>
  </si>
  <si>
    <r>
      <t xml:space="preserve">This workbook demonstrates how the </t>
    </r>
    <r>
      <rPr>
        <b/>
        <sz val="11"/>
        <color theme="1"/>
        <rFont val="Aptos Narrow"/>
        <family val="2"/>
        <scheme val="minor"/>
      </rPr>
      <t>Attention mechanism</t>
    </r>
    <r>
      <rPr>
        <sz val="11"/>
        <color theme="1"/>
        <rFont val="Aptos Narrow"/>
        <family val="2"/>
        <scheme val="minor"/>
      </rPr>
      <t xml:space="preserve"> can be used for </t>
    </r>
    <r>
      <rPr>
        <b/>
        <sz val="11"/>
        <color theme="1"/>
        <rFont val="Aptos Narrow"/>
        <family val="2"/>
        <scheme val="minor"/>
      </rPr>
      <t>time-series forecasting</t>
    </r>
    <r>
      <rPr>
        <sz val="11"/>
        <color theme="1"/>
        <rFont val="Aptos Narrow"/>
        <family val="2"/>
        <scheme val="minor"/>
      </rPr>
      <t xml:space="preserve"> using only Excel formulas.</t>
    </r>
  </si>
  <si>
    <t>Every step — from raw data to final forecast — is transparent and auditable, built for teaching and validation rather than production automation.</t>
  </si>
  <si>
    <t>#</t>
  </si>
  <si>
    <t>Sheet Name</t>
  </si>
  <si>
    <t>Core Function</t>
  </si>
  <si>
    <t>Feeds / Linked To</t>
  </si>
  <si>
    <t>Description</t>
  </si>
  <si>
    <t>1_RawData</t>
  </si>
  <si>
    <t>Data Source</t>
  </si>
  <si>
    <r>
      <t xml:space="preserve">→ </t>
    </r>
    <r>
      <rPr>
        <sz val="10"/>
        <color theme="1"/>
        <rFont val="Arial Unicode MS"/>
      </rPr>
      <t>2_Preprocess</t>
    </r>
  </si>
  <si>
    <t>Contains the original monthly passenger counts (1949–1960). Used only as input.</t>
  </si>
  <si>
    <t>2_Preprocess</t>
  </si>
  <si>
    <t>Data Preparation</t>
  </si>
  <si>
    <r>
      <t xml:space="preserve">Applies log transformation and z-score standardization using the </t>
    </r>
    <r>
      <rPr>
        <i/>
        <sz val="11"/>
        <color theme="1"/>
        <rFont val="Aptos Narrow"/>
        <family val="2"/>
        <scheme val="minor"/>
      </rPr>
      <t>training-only mean and standard deviation</t>
    </r>
    <r>
      <rPr>
        <sz val="11"/>
        <color theme="1"/>
        <rFont val="Aptos Narrow"/>
        <family val="2"/>
        <scheme val="minor"/>
      </rPr>
      <t>. Produces normalized values (</t>
    </r>
    <r>
      <rPr>
        <sz val="10"/>
        <color theme="1"/>
        <rFont val="Arial Unicode MS"/>
      </rPr>
      <t>z-score</t>
    </r>
    <r>
      <rPr>
        <sz val="11"/>
        <color theme="1"/>
        <rFont val="Aptos Narrow"/>
        <family val="2"/>
        <scheme val="minor"/>
      </rPr>
      <t>) for modeling.</t>
    </r>
  </si>
  <si>
    <t>3_TrainWindows</t>
  </si>
  <si>
    <t>Training Pattern Matrix</t>
  </si>
  <si>
    <t>Builds 120 rolling 12-month windows from the training period. Each row represents one year-long pattern and the target (next-month z). Calculates Euclidean norms for cosine similarity.</t>
  </si>
  <si>
    <t>4_TestWindows</t>
  </si>
  <si>
    <t>Test / Reference Windows</t>
  </si>
  <si>
    <t>Builds the 12 test windows used for out-of-sample forecasting. Each window corresponds to the year before each test month.</t>
  </si>
  <si>
    <t>5_AttentionModel</t>
  </si>
  <si>
    <t>Attention-Based Forecast Engine</t>
  </si>
  <si>
    <r>
      <t xml:space="preserve">← </t>
    </r>
    <r>
      <rPr>
        <sz val="10"/>
        <color theme="1"/>
        <rFont val="Arial Unicode MS"/>
      </rPr>
      <t>3_TrainWindows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4_TestWindows</t>
    </r>
  </si>
  <si>
    <r>
      <t>Core sheet that computes cosine similarity, temperature scaling, softmax weights, and weighted forecast (</t>
    </r>
    <r>
      <rPr>
        <sz val="10"/>
        <color theme="1"/>
        <rFont val="Arial Unicode MS"/>
      </rPr>
      <t>z_hat</t>
    </r>
    <r>
      <rPr>
        <sz val="11"/>
        <color theme="1"/>
        <rFont val="Aptos Narrow"/>
        <family val="2"/>
        <scheme val="minor"/>
      </rPr>
      <t>). Generates forecast vs. actual comparison and summary metrics.</t>
    </r>
  </si>
  <si>
    <t>Purpose</t>
  </si>
  <si>
    <r>
      <t xml:space="preserve">← </t>
    </r>
    <r>
      <rPr>
        <sz val="10"/>
        <color theme="1"/>
        <rFont val="Arial Unicode MS"/>
      </rPr>
      <t>1_RawData</t>
    </r>
    <r>
      <rPr>
        <sz val="11"/>
        <color theme="1"/>
        <rFont val="Aptos Narrow"/>
        <family val="2"/>
        <scheme val="minor"/>
      </rPr>
      <t xml:space="preserve"> 
→ </t>
    </r>
    <r>
      <rPr>
        <sz val="10"/>
        <color theme="1"/>
        <rFont val="Arial Unicode MS"/>
      </rPr>
      <t>3_TrainWindows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4_TestWindows</t>
    </r>
  </si>
  <si>
    <r>
      <t xml:space="preserve">← </t>
    </r>
    <r>
      <rPr>
        <sz val="10"/>
        <color theme="1"/>
        <rFont val="Arial Unicode MS"/>
      </rPr>
      <t>2_Preprocess</t>
    </r>
    <r>
      <rPr>
        <sz val="11"/>
        <color theme="1"/>
        <rFont val="Aptos Narrow"/>
        <family val="2"/>
        <scheme val="minor"/>
      </rPr>
      <t xml:space="preserve"> 
→ </t>
    </r>
    <r>
      <rPr>
        <sz val="10"/>
        <color theme="1"/>
        <rFont val="Arial Unicode MS"/>
      </rPr>
      <t>5_AttentionModel</t>
    </r>
  </si>
  <si>
    <t>Sheet Interconnections Overview</t>
  </si>
  <si>
    <t xml:space="preserve">                │</t>
  </si>
  <si>
    <t xml:space="preserve">                ▼</t>
  </si>
  <si>
    <t xml:space="preserve">     yₜ   →   log(yₜ) = xₜ</t>
  </si>
  <si>
    <t xml:space="preserve">        Standardize with μ, σ</t>
  </si>
  <si>
    <t xml:space="preserve">     zₜ = (xₜ - μ) / σ</t>
  </si>
  <si>
    <t xml:space="preserve">         (stationary series)</t>
  </si>
  <si>
    <t xml:space="preserve">  Build 12-month rolling windows from zₜ:</t>
  </si>
  <si>
    <t xml:space="preserve">      z₁…z₁₂ → Training Window 1</t>
  </si>
  <si>
    <t xml:space="preserve">      z₂…z₁₃ → Training Window 2</t>
  </si>
  <si>
    <t xml:space="preserve">          ⋮</t>
  </si>
  <si>
    <t xml:space="preserve">      z₁₂₀ → Training Window 120</t>
  </si>
  <si>
    <t>Each window i:</t>
  </si>
  <si>
    <t xml:space="preserve">  • Lag vector  →  𝒛ᵢ = [z_{t-11}, …, z_t]</t>
  </si>
  <si>
    <t xml:space="preserve">  • Norm        →  ‖𝒛ᵢ‖ = √Σ z²</t>
  </si>
  <si>
    <t>For each forecast month:</t>
  </si>
  <si>
    <t xml:space="preserve">  • Reference vector 𝒛_ref = last 12 zₜ before forecast</t>
  </si>
  <si>
    <t xml:space="preserve">  • Norm ‖𝒛_ref‖ = √Σ z_ref²</t>
  </si>
  <si>
    <t>Compute similarity between 𝒛_ref and each 𝒛ᵢ:</t>
  </si>
  <si>
    <t xml:space="preserve">  dotᵢ   = 𝒛_ref · 𝒛ᵢ</t>
  </si>
  <si>
    <t xml:space="preserve">  cosᵢ   = dotᵢ / (‖𝒛_ref‖ ‖𝒛ᵢ‖ + ε)</t>
  </si>
  <si>
    <t xml:space="preserve">  aᵢ     = cosᵢ / τ</t>
  </si>
  <si>
    <t xml:space="preserve">  eᵢ     = exp(aᵢ − a_max)</t>
  </si>
  <si>
    <t xml:space="preserve">  wᵢ     = eᵢ / Σ eⱼ     →  attention weights (Σwᵢ = 1)</t>
  </si>
  <si>
    <t>Use attention weights to predict next month’s z:</t>
  </si>
  <si>
    <t xml:space="preserve">   ẑ = Σ wᵢ · yᵢᵗᵃʳᵍᵉᵗ</t>
  </si>
  <si>
    <t>Compare to actual:</t>
  </si>
  <si>
    <t xml:space="preserve">   Error = z_actual − ẑ</t>
  </si>
  <si>
    <t>Optional inverse transform:</t>
  </si>
  <si>
    <t xml:space="preserve">   ŷ = exp( μ + σ·ẑ )</t>
  </si>
  <si>
    <t>• wᵢ acts as the “attention score” – how similar past patterns are.</t>
  </si>
  <si>
    <t>• Smaller τ ⇒ model behaves like k-nearest-neighbor (sharp focus).</t>
  </si>
  <si>
    <t>• Larger τ ⇒ smoother weighting across more historical windows.</t>
  </si>
  <si>
    <t>• Forecast = weighted memory of past patterns.</t>
  </si>
  <si>
    <t>2_Preprocessed</t>
  </si>
  <si>
    <t>Forecast generation</t>
  </si>
  <si>
    <t>Interpretation</t>
  </si>
  <si>
    <t>Learning Objective</t>
  </si>
  <si>
    <r>
      <t xml:space="preserve">The purpose is to make every calculation </t>
    </r>
    <r>
      <rPr>
        <b/>
        <sz val="11"/>
        <color theme="1"/>
        <rFont val="Aptos Narrow"/>
        <family val="2"/>
        <scheme val="minor"/>
      </rPr>
      <t>visible, traceable, and explainable line-by-line</t>
    </r>
    <r>
      <rPr>
        <sz val="11"/>
        <color theme="1"/>
        <rFont val="Aptos Narrow"/>
        <family val="2"/>
        <scheme val="minor"/>
      </rPr>
      <t>,</t>
    </r>
  </si>
  <si>
    <t>demonstrating that modern attention mechanisms can be expressed using classical statistics and linear algebra, all within Excel.</t>
  </si>
  <si>
    <t>This dropdown is from the test windows</t>
  </si>
  <si>
    <r>
      <t>3_TrainWindows (</t>
    </r>
    <r>
      <rPr>
        <b/>
        <u/>
        <sz val="11"/>
        <color rgb="FFFF0000"/>
        <rFont val="Aptos Narrow"/>
        <family val="2"/>
        <scheme val="minor"/>
      </rPr>
      <t>the Key</t>
    </r>
    <r>
      <rPr>
        <b/>
        <sz val="11"/>
        <color theme="1"/>
        <rFont val="Aptos Narrow"/>
        <family val="2"/>
        <scheme val="minor"/>
      </rPr>
      <t>) and 4_TestWindows (</t>
    </r>
    <r>
      <rPr>
        <b/>
        <u/>
        <sz val="11"/>
        <color rgb="FFFF0000"/>
        <rFont val="Aptos Narrow"/>
        <family val="2"/>
        <scheme val="minor"/>
      </rPr>
      <t>the Query</t>
    </r>
    <r>
      <rPr>
        <b/>
        <sz val="11"/>
        <color theme="1"/>
        <rFont val="Aptos Narrow"/>
        <family val="2"/>
        <scheme val="minor"/>
      </rPr>
      <t>)</t>
    </r>
  </si>
  <si>
    <r>
      <t xml:space="preserve">  • Target      →  yᵢᵗᵃʳᵍᵉᵗ = z_{t+1} (</t>
    </r>
    <r>
      <rPr>
        <b/>
        <u/>
        <sz val="11"/>
        <color rgb="FFFF0000"/>
        <rFont val="Aptos Narrow"/>
        <family val="2"/>
        <scheme val="minor"/>
      </rPr>
      <t>the Value</t>
    </r>
    <r>
      <rPr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</si>
</sst>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F1115"/>
      <name val="Calibri"/>
      <family val="2"/>
    </font>
    <font>
      <b/>
      <sz val="11"/>
      <color rgb="FF0F1115"/>
      <name val="Calibri"/>
      <family val="2"/>
    </font>
    <font>
      <sz val="11"/>
      <color rgb="FF0F1115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Arial Unicode MS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6" fillId="0" borderId="0" xfId="0" applyFont="1"/>
    <xf numFmtId="1" fontId="4" fillId="0" borderId="0" xfId="0" applyNumberFormat="1" applyFont="1"/>
    <xf numFmtId="164" fontId="4" fillId="0" borderId="0" xfId="0" applyNumberFormat="1" applyFont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 indent="1"/>
    </xf>
    <xf numFmtId="0" fontId="1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'1_RawData'!$B$1</c:f>
              <c:strCache>
                <c:ptCount val="1"/>
                <c:pt idx="0">
                  <c:v>Passengers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'1_RawData'!$A$2:$A$145</c:f>
              <c:strCache>
                <c:ptCount val="144"/>
                <c:pt idx="0">
                  <c:v>1949-01</c:v>
                </c:pt>
                <c:pt idx="1">
                  <c:v>1949-02</c:v>
                </c:pt>
                <c:pt idx="2">
                  <c:v>1949-03</c:v>
                </c:pt>
                <c:pt idx="3">
                  <c:v>1949-04</c:v>
                </c:pt>
                <c:pt idx="4">
                  <c:v>1949-05</c:v>
                </c:pt>
                <c:pt idx="5">
                  <c:v>1949-06</c:v>
                </c:pt>
                <c:pt idx="6">
                  <c:v>1949-07</c:v>
                </c:pt>
                <c:pt idx="7">
                  <c:v>1949-08</c:v>
                </c:pt>
                <c:pt idx="8">
                  <c:v>1949-09</c:v>
                </c:pt>
                <c:pt idx="9">
                  <c:v>1949-10</c:v>
                </c:pt>
                <c:pt idx="10">
                  <c:v>1949-11</c:v>
                </c:pt>
                <c:pt idx="11">
                  <c:v>1949-12</c:v>
                </c:pt>
                <c:pt idx="12">
                  <c:v>1950-01</c:v>
                </c:pt>
                <c:pt idx="13">
                  <c:v>1950-02</c:v>
                </c:pt>
                <c:pt idx="14">
                  <c:v>1950-03</c:v>
                </c:pt>
                <c:pt idx="15">
                  <c:v>1950-04</c:v>
                </c:pt>
                <c:pt idx="16">
                  <c:v>1950-05</c:v>
                </c:pt>
                <c:pt idx="17">
                  <c:v>1950-06</c:v>
                </c:pt>
                <c:pt idx="18">
                  <c:v>1950-07</c:v>
                </c:pt>
                <c:pt idx="19">
                  <c:v>1950-08</c:v>
                </c:pt>
                <c:pt idx="20">
                  <c:v>1950-09</c:v>
                </c:pt>
                <c:pt idx="21">
                  <c:v>1950-10</c:v>
                </c:pt>
                <c:pt idx="22">
                  <c:v>1950-11</c:v>
                </c:pt>
                <c:pt idx="23">
                  <c:v>1950-12</c:v>
                </c:pt>
                <c:pt idx="24">
                  <c:v>1951-01</c:v>
                </c:pt>
                <c:pt idx="25">
                  <c:v>1951-02</c:v>
                </c:pt>
                <c:pt idx="26">
                  <c:v>1951-03</c:v>
                </c:pt>
                <c:pt idx="27">
                  <c:v>1951-04</c:v>
                </c:pt>
                <c:pt idx="28">
                  <c:v>1951-05</c:v>
                </c:pt>
                <c:pt idx="29">
                  <c:v>1951-06</c:v>
                </c:pt>
                <c:pt idx="30">
                  <c:v>1951-07</c:v>
                </c:pt>
                <c:pt idx="31">
                  <c:v>1951-08</c:v>
                </c:pt>
                <c:pt idx="32">
                  <c:v>1951-09</c:v>
                </c:pt>
                <c:pt idx="33">
                  <c:v>1951-10</c:v>
                </c:pt>
                <c:pt idx="34">
                  <c:v>1951-11</c:v>
                </c:pt>
                <c:pt idx="35">
                  <c:v>1951-12</c:v>
                </c:pt>
                <c:pt idx="36">
                  <c:v>1952-01</c:v>
                </c:pt>
                <c:pt idx="37">
                  <c:v>1952-02</c:v>
                </c:pt>
                <c:pt idx="38">
                  <c:v>1952-03</c:v>
                </c:pt>
                <c:pt idx="39">
                  <c:v>1952-04</c:v>
                </c:pt>
                <c:pt idx="40">
                  <c:v>1952-05</c:v>
                </c:pt>
                <c:pt idx="41">
                  <c:v>1952-06</c:v>
                </c:pt>
                <c:pt idx="42">
                  <c:v>1952-07</c:v>
                </c:pt>
                <c:pt idx="43">
                  <c:v>1952-08</c:v>
                </c:pt>
                <c:pt idx="44">
                  <c:v>1952-09</c:v>
                </c:pt>
                <c:pt idx="45">
                  <c:v>1952-10</c:v>
                </c:pt>
                <c:pt idx="46">
                  <c:v>1952-11</c:v>
                </c:pt>
                <c:pt idx="47">
                  <c:v>1952-12</c:v>
                </c:pt>
                <c:pt idx="48">
                  <c:v>1953-01</c:v>
                </c:pt>
                <c:pt idx="49">
                  <c:v>1953-02</c:v>
                </c:pt>
                <c:pt idx="50">
                  <c:v>1953-03</c:v>
                </c:pt>
                <c:pt idx="51">
                  <c:v>1953-04</c:v>
                </c:pt>
                <c:pt idx="52">
                  <c:v>1953-05</c:v>
                </c:pt>
                <c:pt idx="53">
                  <c:v>1953-06</c:v>
                </c:pt>
                <c:pt idx="54">
                  <c:v>1953-07</c:v>
                </c:pt>
                <c:pt idx="55">
                  <c:v>1953-08</c:v>
                </c:pt>
                <c:pt idx="56">
                  <c:v>1953-09</c:v>
                </c:pt>
                <c:pt idx="57">
                  <c:v>1953-10</c:v>
                </c:pt>
                <c:pt idx="58">
                  <c:v>1953-11</c:v>
                </c:pt>
                <c:pt idx="59">
                  <c:v>1953-12</c:v>
                </c:pt>
                <c:pt idx="60">
                  <c:v>1954-01</c:v>
                </c:pt>
                <c:pt idx="61">
                  <c:v>1954-02</c:v>
                </c:pt>
                <c:pt idx="62">
                  <c:v>1954-03</c:v>
                </c:pt>
                <c:pt idx="63">
                  <c:v>1954-04</c:v>
                </c:pt>
                <c:pt idx="64">
                  <c:v>1954-05</c:v>
                </c:pt>
                <c:pt idx="65">
                  <c:v>1954-06</c:v>
                </c:pt>
                <c:pt idx="66">
                  <c:v>1954-07</c:v>
                </c:pt>
                <c:pt idx="67">
                  <c:v>1954-08</c:v>
                </c:pt>
                <c:pt idx="68">
                  <c:v>1954-09</c:v>
                </c:pt>
                <c:pt idx="69">
                  <c:v>1954-10</c:v>
                </c:pt>
                <c:pt idx="70">
                  <c:v>1954-11</c:v>
                </c:pt>
                <c:pt idx="71">
                  <c:v>1954-12</c:v>
                </c:pt>
                <c:pt idx="72">
                  <c:v>1955-01</c:v>
                </c:pt>
                <c:pt idx="73">
                  <c:v>1955-02</c:v>
                </c:pt>
                <c:pt idx="74">
                  <c:v>1955-03</c:v>
                </c:pt>
                <c:pt idx="75">
                  <c:v>1955-04</c:v>
                </c:pt>
                <c:pt idx="76">
                  <c:v>1955-05</c:v>
                </c:pt>
                <c:pt idx="77">
                  <c:v>1955-06</c:v>
                </c:pt>
                <c:pt idx="78">
                  <c:v>1955-07</c:v>
                </c:pt>
                <c:pt idx="79">
                  <c:v>1955-08</c:v>
                </c:pt>
                <c:pt idx="80">
                  <c:v>1955-09</c:v>
                </c:pt>
                <c:pt idx="81">
                  <c:v>1955-10</c:v>
                </c:pt>
                <c:pt idx="82">
                  <c:v>1955-11</c:v>
                </c:pt>
                <c:pt idx="83">
                  <c:v>1955-12</c:v>
                </c:pt>
                <c:pt idx="84">
                  <c:v>1956-01</c:v>
                </c:pt>
                <c:pt idx="85">
                  <c:v>1956-02</c:v>
                </c:pt>
                <c:pt idx="86">
                  <c:v>1956-03</c:v>
                </c:pt>
                <c:pt idx="87">
                  <c:v>1956-04</c:v>
                </c:pt>
                <c:pt idx="88">
                  <c:v>1956-05</c:v>
                </c:pt>
                <c:pt idx="89">
                  <c:v>1956-06</c:v>
                </c:pt>
                <c:pt idx="90">
                  <c:v>1956-07</c:v>
                </c:pt>
                <c:pt idx="91">
                  <c:v>1956-08</c:v>
                </c:pt>
                <c:pt idx="92">
                  <c:v>1956-09</c:v>
                </c:pt>
                <c:pt idx="93">
                  <c:v>1956-10</c:v>
                </c:pt>
                <c:pt idx="94">
                  <c:v>1956-11</c:v>
                </c:pt>
                <c:pt idx="95">
                  <c:v>1956-12</c:v>
                </c:pt>
                <c:pt idx="96">
                  <c:v>1957-01</c:v>
                </c:pt>
                <c:pt idx="97">
                  <c:v>1957-02</c:v>
                </c:pt>
                <c:pt idx="98">
                  <c:v>1957-03</c:v>
                </c:pt>
                <c:pt idx="99">
                  <c:v>1957-04</c:v>
                </c:pt>
                <c:pt idx="100">
                  <c:v>1957-05</c:v>
                </c:pt>
                <c:pt idx="101">
                  <c:v>1957-06</c:v>
                </c:pt>
                <c:pt idx="102">
                  <c:v>1957-07</c:v>
                </c:pt>
                <c:pt idx="103">
                  <c:v>1957-08</c:v>
                </c:pt>
                <c:pt idx="104">
                  <c:v>1957-09</c:v>
                </c:pt>
                <c:pt idx="105">
                  <c:v>1957-10</c:v>
                </c:pt>
                <c:pt idx="106">
                  <c:v>1957-11</c:v>
                </c:pt>
                <c:pt idx="107">
                  <c:v>1957-12</c:v>
                </c:pt>
                <c:pt idx="108">
                  <c:v>1958-01</c:v>
                </c:pt>
                <c:pt idx="109">
                  <c:v>1958-02</c:v>
                </c:pt>
                <c:pt idx="110">
                  <c:v>1958-03</c:v>
                </c:pt>
                <c:pt idx="111">
                  <c:v>1958-04</c:v>
                </c:pt>
                <c:pt idx="112">
                  <c:v>1958-05</c:v>
                </c:pt>
                <c:pt idx="113">
                  <c:v>1958-06</c:v>
                </c:pt>
                <c:pt idx="114">
                  <c:v>1958-07</c:v>
                </c:pt>
                <c:pt idx="115">
                  <c:v>1958-08</c:v>
                </c:pt>
                <c:pt idx="116">
                  <c:v>1958-09</c:v>
                </c:pt>
                <c:pt idx="117">
                  <c:v>1958-10</c:v>
                </c:pt>
                <c:pt idx="118">
                  <c:v>1958-11</c:v>
                </c:pt>
                <c:pt idx="119">
                  <c:v>1958-12</c:v>
                </c:pt>
                <c:pt idx="120">
                  <c:v>1959-01</c:v>
                </c:pt>
                <c:pt idx="121">
                  <c:v>1959-02</c:v>
                </c:pt>
                <c:pt idx="122">
                  <c:v>1959-03</c:v>
                </c:pt>
                <c:pt idx="123">
                  <c:v>1959-04</c:v>
                </c:pt>
                <c:pt idx="124">
                  <c:v>1959-05</c:v>
                </c:pt>
                <c:pt idx="125">
                  <c:v>1959-06</c:v>
                </c:pt>
                <c:pt idx="126">
                  <c:v>1959-07</c:v>
                </c:pt>
                <c:pt idx="127">
                  <c:v>1959-08</c:v>
                </c:pt>
                <c:pt idx="128">
                  <c:v>1959-09</c:v>
                </c:pt>
                <c:pt idx="129">
                  <c:v>1959-10</c:v>
                </c:pt>
                <c:pt idx="130">
                  <c:v>1959-11</c:v>
                </c:pt>
                <c:pt idx="131">
                  <c:v>1959-12</c:v>
                </c:pt>
                <c:pt idx="132">
                  <c:v>1960-01</c:v>
                </c:pt>
                <c:pt idx="133">
                  <c:v>1960-02</c:v>
                </c:pt>
                <c:pt idx="134">
                  <c:v>1960-03</c:v>
                </c:pt>
                <c:pt idx="135">
                  <c:v>1960-04</c:v>
                </c:pt>
                <c:pt idx="136">
                  <c:v>1960-05</c:v>
                </c:pt>
                <c:pt idx="137">
                  <c:v>1960-06</c:v>
                </c:pt>
                <c:pt idx="138">
                  <c:v>1960-07</c:v>
                </c:pt>
                <c:pt idx="139">
                  <c:v>1960-08</c:v>
                </c:pt>
                <c:pt idx="140">
                  <c:v>1960-09</c:v>
                </c:pt>
                <c:pt idx="141">
                  <c:v>1960-10</c:v>
                </c:pt>
                <c:pt idx="142">
                  <c:v>1960-11</c:v>
                </c:pt>
                <c:pt idx="143">
                  <c:v>1960-12</c:v>
                </c:pt>
              </c:strCache>
            </c:strRef>
          </c:cat>
          <c:val>
            <c:numRef>
              <c:f>'1_RawData'!$B$2:$B$145</c:f>
              <c:numCache>
                <c:formatCode>General</c:formatCode>
                <c:ptCount val="144"/>
                <c:pt idx="0">
                  <c:v>112</c:v>
                </c:pt>
                <c:pt idx="1">
                  <c:v>118</c:v>
                </c:pt>
                <c:pt idx="2">
                  <c:v>132</c:v>
                </c:pt>
                <c:pt idx="3">
                  <c:v>129</c:v>
                </c:pt>
                <c:pt idx="4">
                  <c:v>121</c:v>
                </c:pt>
                <c:pt idx="5">
                  <c:v>135</c:v>
                </c:pt>
                <c:pt idx="6">
                  <c:v>148</c:v>
                </c:pt>
                <c:pt idx="7">
                  <c:v>148</c:v>
                </c:pt>
                <c:pt idx="8">
                  <c:v>136</c:v>
                </c:pt>
                <c:pt idx="9">
                  <c:v>119</c:v>
                </c:pt>
                <c:pt idx="10">
                  <c:v>104</c:v>
                </c:pt>
                <c:pt idx="11">
                  <c:v>118</c:v>
                </c:pt>
                <c:pt idx="12">
                  <c:v>115</c:v>
                </c:pt>
                <c:pt idx="13">
                  <c:v>126</c:v>
                </c:pt>
                <c:pt idx="14">
                  <c:v>141</c:v>
                </c:pt>
                <c:pt idx="15">
                  <c:v>135</c:v>
                </c:pt>
                <c:pt idx="16">
                  <c:v>125</c:v>
                </c:pt>
                <c:pt idx="17">
                  <c:v>149</c:v>
                </c:pt>
                <c:pt idx="18">
                  <c:v>170</c:v>
                </c:pt>
                <c:pt idx="19">
                  <c:v>170</c:v>
                </c:pt>
                <c:pt idx="20">
                  <c:v>158</c:v>
                </c:pt>
                <c:pt idx="21">
                  <c:v>133</c:v>
                </c:pt>
                <c:pt idx="22">
                  <c:v>114</c:v>
                </c:pt>
                <c:pt idx="23">
                  <c:v>140</c:v>
                </c:pt>
                <c:pt idx="24">
                  <c:v>145</c:v>
                </c:pt>
                <c:pt idx="25">
                  <c:v>150</c:v>
                </c:pt>
                <c:pt idx="26">
                  <c:v>178</c:v>
                </c:pt>
                <c:pt idx="27">
                  <c:v>163</c:v>
                </c:pt>
                <c:pt idx="28">
                  <c:v>172</c:v>
                </c:pt>
                <c:pt idx="29">
                  <c:v>178</c:v>
                </c:pt>
                <c:pt idx="30">
                  <c:v>199</c:v>
                </c:pt>
                <c:pt idx="31">
                  <c:v>199</c:v>
                </c:pt>
                <c:pt idx="32">
                  <c:v>184</c:v>
                </c:pt>
                <c:pt idx="33">
                  <c:v>162</c:v>
                </c:pt>
                <c:pt idx="34">
                  <c:v>146</c:v>
                </c:pt>
                <c:pt idx="35">
                  <c:v>166</c:v>
                </c:pt>
                <c:pt idx="36">
                  <c:v>171</c:v>
                </c:pt>
                <c:pt idx="37">
                  <c:v>180</c:v>
                </c:pt>
                <c:pt idx="38">
                  <c:v>193</c:v>
                </c:pt>
                <c:pt idx="39">
                  <c:v>181</c:v>
                </c:pt>
                <c:pt idx="40">
                  <c:v>183</c:v>
                </c:pt>
                <c:pt idx="41">
                  <c:v>218</c:v>
                </c:pt>
                <c:pt idx="42">
                  <c:v>230</c:v>
                </c:pt>
                <c:pt idx="43">
                  <c:v>242</c:v>
                </c:pt>
                <c:pt idx="44">
                  <c:v>209</c:v>
                </c:pt>
                <c:pt idx="45">
                  <c:v>191</c:v>
                </c:pt>
                <c:pt idx="46">
                  <c:v>172</c:v>
                </c:pt>
                <c:pt idx="47">
                  <c:v>194</c:v>
                </c:pt>
                <c:pt idx="48">
                  <c:v>196</c:v>
                </c:pt>
                <c:pt idx="49">
                  <c:v>196</c:v>
                </c:pt>
                <c:pt idx="50">
                  <c:v>236</c:v>
                </c:pt>
                <c:pt idx="51">
                  <c:v>235</c:v>
                </c:pt>
                <c:pt idx="52">
                  <c:v>229</c:v>
                </c:pt>
                <c:pt idx="53">
                  <c:v>243</c:v>
                </c:pt>
                <c:pt idx="54">
                  <c:v>264</c:v>
                </c:pt>
                <c:pt idx="55">
                  <c:v>272</c:v>
                </c:pt>
                <c:pt idx="56">
                  <c:v>237</c:v>
                </c:pt>
                <c:pt idx="57">
                  <c:v>211</c:v>
                </c:pt>
                <c:pt idx="58">
                  <c:v>180</c:v>
                </c:pt>
                <c:pt idx="59">
                  <c:v>201</c:v>
                </c:pt>
                <c:pt idx="60">
                  <c:v>204</c:v>
                </c:pt>
                <c:pt idx="61">
                  <c:v>188</c:v>
                </c:pt>
                <c:pt idx="62">
                  <c:v>235</c:v>
                </c:pt>
                <c:pt idx="63">
                  <c:v>227</c:v>
                </c:pt>
                <c:pt idx="64">
                  <c:v>234</c:v>
                </c:pt>
                <c:pt idx="65">
                  <c:v>264</c:v>
                </c:pt>
                <c:pt idx="66">
                  <c:v>302</c:v>
                </c:pt>
                <c:pt idx="67">
                  <c:v>293</c:v>
                </c:pt>
                <c:pt idx="68">
                  <c:v>259</c:v>
                </c:pt>
                <c:pt idx="69">
                  <c:v>229</c:v>
                </c:pt>
                <c:pt idx="70">
                  <c:v>203</c:v>
                </c:pt>
                <c:pt idx="71">
                  <c:v>229</c:v>
                </c:pt>
                <c:pt idx="72">
                  <c:v>242</c:v>
                </c:pt>
                <c:pt idx="73">
                  <c:v>233</c:v>
                </c:pt>
                <c:pt idx="74">
                  <c:v>267</c:v>
                </c:pt>
                <c:pt idx="75">
                  <c:v>269</c:v>
                </c:pt>
                <c:pt idx="76">
                  <c:v>270</c:v>
                </c:pt>
                <c:pt idx="77">
                  <c:v>315</c:v>
                </c:pt>
                <c:pt idx="78">
                  <c:v>364</c:v>
                </c:pt>
                <c:pt idx="79">
                  <c:v>347</c:v>
                </c:pt>
                <c:pt idx="80">
                  <c:v>312</c:v>
                </c:pt>
                <c:pt idx="81">
                  <c:v>274</c:v>
                </c:pt>
                <c:pt idx="82">
                  <c:v>237</c:v>
                </c:pt>
                <c:pt idx="83">
                  <c:v>278</c:v>
                </c:pt>
                <c:pt idx="84">
                  <c:v>284</c:v>
                </c:pt>
                <c:pt idx="85">
                  <c:v>277</c:v>
                </c:pt>
                <c:pt idx="86">
                  <c:v>317</c:v>
                </c:pt>
                <c:pt idx="87">
                  <c:v>313</c:v>
                </c:pt>
                <c:pt idx="88">
                  <c:v>318</c:v>
                </c:pt>
                <c:pt idx="89">
                  <c:v>374</c:v>
                </c:pt>
                <c:pt idx="90">
                  <c:v>413</c:v>
                </c:pt>
                <c:pt idx="91">
                  <c:v>405</c:v>
                </c:pt>
                <c:pt idx="92">
                  <c:v>355</c:v>
                </c:pt>
                <c:pt idx="93">
                  <c:v>306</c:v>
                </c:pt>
                <c:pt idx="94">
                  <c:v>271</c:v>
                </c:pt>
                <c:pt idx="95">
                  <c:v>306</c:v>
                </c:pt>
                <c:pt idx="96">
                  <c:v>315</c:v>
                </c:pt>
                <c:pt idx="97">
                  <c:v>301</c:v>
                </c:pt>
                <c:pt idx="98">
                  <c:v>356</c:v>
                </c:pt>
                <c:pt idx="99">
                  <c:v>348</c:v>
                </c:pt>
                <c:pt idx="100">
                  <c:v>355</c:v>
                </c:pt>
                <c:pt idx="101">
                  <c:v>422</c:v>
                </c:pt>
                <c:pt idx="102">
                  <c:v>465</c:v>
                </c:pt>
                <c:pt idx="103">
                  <c:v>467</c:v>
                </c:pt>
                <c:pt idx="104">
                  <c:v>404</c:v>
                </c:pt>
                <c:pt idx="105">
                  <c:v>347</c:v>
                </c:pt>
                <c:pt idx="106">
                  <c:v>305</c:v>
                </c:pt>
                <c:pt idx="107">
                  <c:v>336</c:v>
                </c:pt>
                <c:pt idx="108">
                  <c:v>340</c:v>
                </c:pt>
                <c:pt idx="109">
                  <c:v>318</c:v>
                </c:pt>
                <c:pt idx="110">
                  <c:v>362</c:v>
                </c:pt>
                <c:pt idx="111">
                  <c:v>348</c:v>
                </c:pt>
                <c:pt idx="112">
                  <c:v>363</c:v>
                </c:pt>
                <c:pt idx="113">
                  <c:v>435</c:v>
                </c:pt>
                <c:pt idx="114">
                  <c:v>491</c:v>
                </c:pt>
                <c:pt idx="115">
                  <c:v>505</c:v>
                </c:pt>
                <c:pt idx="116">
                  <c:v>404</c:v>
                </c:pt>
                <c:pt idx="117">
                  <c:v>359</c:v>
                </c:pt>
                <c:pt idx="118">
                  <c:v>310</c:v>
                </c:pt>
                <c:pt idx="119">
                  <c:v>337</c:v>
                </c:pt>
                <c:pt idx="120">
                  <c:v>360</c:v>
                </c:pt>
                <c:pt idx="121">
                  <c:v>342</c:v>
                </c:pt>
                <c:pt idx="122">
                  <c:v>406</c:v>
                </c:pt>
                <c:pt idx="123">
                  <c:v>396</c:v>
                </c:pt>
                <c:pt idx="124">
                  <c:v>420</c:v>
                </c:pt>
                <c:pt idx="125">
                  <c:v>472</c:v>
                </c:pt>
                <c:pt idx="126">
                  <c:v>548</c:v>
                </c:pt>
                <c:pt idx="127">
                  <c:v>559</c:v>
                </c:pt>
                <c:pt idx="128">
                  <c:v>463</c:v>
                </c:pt>
                <c:pt idx="129">
                  <c:v>407</c:v>
                </c:pt>
                <c:pt idx="130">
                  <c:v>362</c:v>
                </c:pt>
                <c:pt idx="131">
                  <c:v>405</c:v>
                </c:pt>
                <c:pt idx="132">
                  <c:v>417</c:v>
                </c:pt>
                <c:pt idx="133">
                  <c:v>391</c:v>
                </c:pt>
                <c:pt idx="134">
                  <c:v>419</c:v>
                </c:pt>
                <c:pt idx="135">
                  <c:v>461</c:v>
                </c:pt>
                <c:pt idx="136">
                  <c:v>472</c:v>
                </c:pt>
                <c:pt idx="137">
                  <c:v>535</c:v>
                </c:pt>
                <c:pt idx="138">
                  <c:v>622</c:v>
                </c:pt>
                <c:pt idx="139">
                  <c:v>606</c:v>
                </c:pt>
                <c:pt idx="140">
                  <c:v>508</c:v>
                </c:pt>
                <c:pt idx="141">
                  <c:v>461</c:v>
                </c:pt>
                <c:pt idx="142">
                  <c:v>390</c:v>
                </c:pt>
                <c:pt idx="143">
                  <c:v>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2-4668-BC7E-D4D74E112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0884511"/>
        <c:axId val="1260911391"/>
      </c:lineChart>
      <c:catAx>
        <c:axId val="126088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911391"/>
        <c:crosses val="autoZero"/>
        <c:auto val="1"/>
        <c:lblAlgn val="ctr"/>
        <c:lblOffset val="100"/>
        <c:noMultiLvlLbl val="0"/>
      </c:catAx>
      <c:valAx>
        <c:axId val="126091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88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2</xdr:row>
      <xdr:rowOff>76206</xdr:rowOff>
    </xdr:from>
    <xdr:to>
      <xdr:col>12</xdr:col>
      <xdr:colOff>333375</xdr:colOff>
      <xdr:row>16</xdr:row>
      <xdr:rowOff>152406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2927B6-A92C-DEE5-C9A6-1F2682ED5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901EFF-47A0-4794-AE6E-A228C6FF936A}" name="Table3" displayName="Table3" ref="A1:A13" totalsRowShown="0" headerRowDxfId="2" dataDxfId="1">
  <autoFilter ref="A1:A13" xr:uid="{3F901EFF-47A0-4794-AE6E-A228C6FF936A}"/>
  <tableColumns count="1">
    <tableColumn id="1" xr3:uid="{13AE21E5-8EA1-4397-A480-E4DE938BD845}" name="TestID" dataDxfId="0">
      <calculatedColumnFormula>A1+1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A7D9-81D5-440A-9868-D1016A9EC7EF}">
  <dimension ref="B2:F23"/>
  <sheetViews>
    <sheetView topLeftCell="A3" workbookViewId="0">
      <selection activeCell="B24" sqref="B24"/>
    </sheetView>
  </sheetViews>
  <sheetFormatPr defaultRowHeight="15"/>
  <cols>
    <col min="2" max="2" width="9.140625" style="4"/>
    <col min="3" max="3" width="18.140625" customWidth="1"/>
    <col min="4" max="4" width="17.140625" customWidth="1"/>
    <col min="5" max="5" width="21" customWidth="1"/>
    <col min="6" max="6" width="62.85546875" customWidth="1"/>
    <col min="8" max="8" width="18" customWidth="1"/>
  </cols>
  <sheetData>
    <row r="2" spans="2:6">
      <c r="B2" s="2" t="s">
        <v>191</v>
      </c>
      <c r="C2" s="4" t="s">
        <v>192</v>
      </c>
    </row>
    <row r="3" spans="2:6">
      <c r="B3" s="2" t="s">
        <v>193</v>
      </c>
      <c r="C3" s="4" t="s">
        <v>194</v>
      </c>
    </row>
    <row r="5" spans="2:6" ht="15.75">
      <c r="B5" s="13" t="s">
        <v>219</v>
      </c>
    </row>
    <row r="6" spans="2:6">
      <c r="B6"/>
    </row>
    <row r="7" spans="2:6">
      <c r="B7" t="s">
        <v>195</v>
      </c>
    </row>
    <row r="8" spans="2:6">
      <c r="B8" t="s">
        <v>196</v>
      </c>
    </row>
    <row r="9" spans="2:6">
      <c r="B9"/>
    </row>
    <row r="10" spans="2:6" ht="15.75">
      <c r="B10" s="13" t="s">
        <v>222</v>
      </c>
    </row>
    <row r="11" spans="2:6">
      <c r="B11"/>
    </row>
    <row r="12" spans="2:6">
      <c r="B12" s="14" t="s">
        <v>197</v>
      </c>
      <c r="C12" s="14" t="s">
        <v>198</v>
      </c>
      <c r="D12" s="14" t="s">
        <v>199</v>
      </c>
      <c r="E12" s="14" t="s">
        <v>200</v>
      </c>
      <c r="F12" s="14" t="s">
        <v>201</v>
      </c>
    </row>
    <row r="13" spans="2:6" ht="30">
      <c r="B13" s="15">
        <v>1</v>
      </c>
      <c r="C13" s="16" t="s">
        <v>202</v>
      </c>
      <c r="D13" s="15" t="s">
        <v>203</v>
      </c>
      <c r="E13" s="15" t="s">
        <v>204</v>
      </c>
      <c r="F13" s="15" t="s">
        <v>205</v>
      </c>
    </row>
    <row r="14" spans="2:6" ht="45">
      <c r="B14" s="15">
        <v>2</v>
      </c>
      <c r="C14" s="16" t="s">
        <v>206</v>
      </c>
      <c r="D14" s="15" t="s">
        <v>207</v>
      </c>
      <c r="E14" s="15" t="s">
        <v>220</v>
      </c>
      <c r="F14" s="15" t="s">
        <v>208</v>
      </c>
    </row>
    <row r="15" spans="2:6" ht="45">
      <c r="B15" s="15">
        <v>3</v>
      </c>
      <c r="C15" s="16" t="s">
        <v>209</v>
      </c>
      <c r="D15" s="15" t="s">
        <v>210</v>
      </c>
      <c r="E15" s="15" t="s">
        <v>221</v>
      </c>
      <c r="F15" s="15" t="s">
        <v>211</v>
      </c>
    </row>
    <row r="16" spans="2:6" ht="30">
      <c r="B16" s="15">
        <v>4</v>
      </c>
      <c r="C16" s="16" t="s">
        <v>212</v>
      </c>
      <c r="D16" s="15" t="s">
        <v>213</v>
      </c>
      <c r="E16" s="15" t="s">
        <v>221</v>
      </c>
      <c r="F16" s="15" t="s">
        <v>214</v>
      </c>
    </row>
    <row r="17" spans="2:6" ht="45">
      <c r="B17" s="15">
        <v>5</v>
      </c>
      <c r="C17" s="16" t="s">
        <v>215</v>
      </c>
      <c r="D17" s="15" t="s">
        <v>216</v>
      </c>
      <c r="E17" s="15" t="s">
        <v>217</v>
      </c>
      <c r="F17" s="15" t="s">
        <v>218</v>
      </c>
    </row>
    <row r="20" spans="2:6" ht="15.75">
      <c r="B20" s="13" t="s">
        <v>259</v>
      </c>
    </row>
    <row r="21" spans="2:6">
      <c r="B21"/>
    </row>
    <row r="22" spans="2:6">
      <c r="B22" t="s">
        <v>260</v>
      </c>
    </row>
    <row r="23" spans="2:6">
      <c r="B23" t="s">
        <v>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DAB1-9B6E-4A80-A781-236089A9EE4D}">
  <dimension ref="A2:N26"/>
  <sheetViews>
    <sheetView tabSelected="1" workbookViewId="0">
      <selection activeCell="G11" sqref="G11"/>
    </sheetView>
  </sheetViews>
  <sheetFormatPr defaultRowHeight="15"/>
  <sheetData>
    <row r="2" spans="1:14">
      <c r="A2" s="1" t="s">
        <v>202</v>
      </c>
      <c r="G2" s="1" t="s">
        <v>263</v>
      </c>
      <c r="N2" s="1" t="s">
        <v>258</v>
      </c>
    </row>
    <row r="3" spans="1:14">
      <c r="A3" t="s">
        <v>225</v>
      </c>
      <c r="G3" t="s">
        <v>237</v>
      </c>
      <c r="N3" t="s">
        <v>252</v>
      </c>
    </row>
    <row r="4" spans="1:14">
      <c r="A4" t="s">
        <v>223</v>
      </c>
      <c r="G4" t="s">
        <v>238</v>
      </c>
      <c r="N4" t="s">
        <v>253</v>
      </c>
    </row>
    <row r="5" spans="1:14">
      <c r="A5" t="s">
        <v>224</v>
      </c>
      <c r="G5" t="s">
        <v>239</v>
      </c>
      <c r="N5" t="s">
        <v>254</v>
      </c>
    </row>
    <row r="6" spans="1:14">
      <c r="A6" t="s">
        <v>226</v>
      </c>
      <c r="N6" t="s">
        <v>255</v>
      </c>
    </row>
    <row r="7" spans="1:14">
      <c r="A7" t="s">
        <v>223</v>
      </c>
      <c r="G7" s="1" t="s">
        <v>215</v>
      </c>
    </row>
    <row r="8" spans="1:14">
      <c r="A8" t="s">
        <v>224</v>
      </c>
      <c r="G8" t="s">
        <v>240</v>
      </c>
    </row>
    <row r="9" spans="1:14">
      <c r="A9" t="s">
        <v>227</v>
      </c>
    </row>
    <row r="10" spans="1:14">
      <c r="A10" t="s">
        <v>228</v>
      </c>
      <c r="G10" t="s">
        <v>241</v>
      </c>
    </row>
    <row r="11" spans="1:14">
      <c r="G11" t="s">
        <v>242</v>
      </c>
    </row>
    <row r="12" spans="1:14">
      <c r="A12" s="1" t="s">
        <v>256</v>
      </c>
      <c r="G12" t="s">
        <v>243</v>
      </c>
    </row>
    <row r="13" spans="1:14">
      <c r="A13" t="s">
        <v>229</v>
      </c>
      <c r="G13" t="s">
        <v>244</v>
      </c>
    </row>
    <row r="14" spans="1:14">
      <c r="G14" t="s">
        <v>245</v>
      </c>
    </row>
    <row r="15" spans="1:14">
      <c r="A15" t="s">
        <v>230</v>
      </c>
    </row>
    <row r="16" spans="1:14">
      <c r="A16" t="s">
        <v>231</v>
      </c>
      <c r="G16" s="1" t="s">
        <v>257</v>
      </c>
    </row>
    <row r="17" spans="1:7">
      <c r="A17" t="s">
        <v>232</v>
      </c>
    </row>
    <row r="18" spans="1:7">
      <c r="A18" t="s">
        <v>233</v>
      </c>
      <c r="G18" t="s">
        <v>246</v>
      </c>
    </row>
    <row r="20" spans="1:7">
      <c r="A20" t="s">
        <v>234</v>
      </c>
      <c r="G20" t="s">
        <v>247</v>
      </c>
    </row>
    <row r="21" spans="1:7">
      <c r="A21" t="s">
        <v>235</v>
      </c>
    </row>
    <row r="22" spans="1:7">
      <c r="A22" t="s">
        <v>264</v>
      </c>
      <c r="G22" t="s">
        <v>248</v>
      </c>
    </row>
    <row r="23" spans="1:7">
      <c r="A23" t="s">
        <v>236</v>
      </c>
      <c r="G23" t="s">
        <v>249</v>
      </c>
    </row>
    <row r="25" spans="1:7">
      <c r="G25" t="s">
        <v>250</v>
      </c>
    </row>
    <row r="26" spans="1:7">
      <c r="G26" t="s">
        <v>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F7667-DC1A-47A2-B441-208CA8391BCF}">
  <dimension ref="A1:H14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19" sqref="O19"/>
    </sheetView>
  </sheetViews>
  <sheetFormatPr defaultRowHeight="15"/>
  <cols>
    <col min="1" max="6" width="9.140625" style="4"/>
    <col min="7" max="7" width="13.140625" style="4" bestFit="1" customWidth="1"/>
    <col min="8" max="16384" width="9.140625" style="4"/>
  </cols>
  <sheetData>
    <row r="1" spans="1:8" s="2" customFormat="1">
      <c r="A1" s="11" t="s">
        <v>0</v>
      </c>
      <c r="B1" s="2" t="s">
        <v>1</v>
      </c>
      <c r="C1" s="2" t="s">
        <v>146</v>
      </c>
      <c r="D1" s="2" t="s">
        <v>148</v>
      </c>
      <c r="G1" s="2" t="s">
        <v>147</v>
      </c>
      <c r="H1" s="2">
        <v>132</v>
      </c>
    </row>
    <row r="2" spans="1:8">
      <c r="A2" s="10" t="s">
        <v>2</v>
      </c>
      <c r="B2" s="4">
        <v>112</v>
      </c>
      <c r="C2" s="4">
        <f>IF(ROW()-1 &lt;= train_end_idx, 1, 0)</f>
        <v>1</v>
      </c>
      <c r="D2" s="4">
        <v>1</v>
      </c>
    </row>
    <row r="3" spans="1:8">
      <c r="A3" s="10" t="s">
        <v>3</v>
      </c>
      <c r="B3" s="4">
        <v>118</v>
      </c>
      <c r="C3" s="4">
        <f t="shared" ref="C3:C65" si="0">IF(ROW()-1 &lt;= train_end_idx, 1, 0)</f>
        <v>1</v>
      </c>
      <c r="D3" s="4">
        <v>2</v>
      </c>
    </row>
    <row r="4" spans="1:8">
      <c r="A4" s="10" t="s">
        <v>4</v>
      </c>
      <c r="B4" s="4">
        <v>132</v>
      </c>
      <c r="C4" s="4">
        <f t="shared" si="0"/>
        <v>1</v>
      </c>
      <c r="D4" s="4">
        <v>3</v>
      </c>
    </row>
    <row r="5" spans="1:8">
      <c r="A5" s="10" t="s">
        <v>5</v>
      </c>
      <c r="B5" s="4">
        <v>129</v>
      </c>
      <c r="C5" s="4">
        <f t="shared" si="0"/>
        <v>1</v>
      </c>
      <c r="D5" s="4">
        <v>4</v>
      </c>
    </row>
    <row r="6" spans="1:8">
      <c r="A6" s="10" t="s">
        <v>6</v>
      </c>
      <c r="B6" s="4">
        <v>121</v>
      </c>
      <c r="C6" s="4">
        <f t="shared" si="0"/>
        <v>1</v>
      </c>
      <c r="D6" s="4">
        <v>5</v>
      </c>
    </row>
    <row r="7" spans="1:8">
      <c r="A7" s="10" t="s">
        <v>7</v>
      </c>
      <c r="B7" s="4">
        <v>135</v>
      </c>
      <c r="C7" s="4">
        <f t="shared" si="0"/>
        <v>1</v>
      </c>
      <c r="D7" s="4">
        <v>6</v>
      </c>
    </row>
    <row r="8" spans="1:8">
      <c r="A8" s="10" t="s">
        <v>8</v>
      </c>
      <c r="B8" s="4">
        <v>148</v>
      </c>
      <c r="C8" s="4">
        <f t="shared" si="0"/>
        <v>1</v>
      </c>
      <c r="D8" s="4">
        <v>7</v>
      </c>
    </row>
    <row r="9" spans="1:8">
      <c r="A9" s="10" t="s">
        <v>9</v>
      </c>
      <c r="B9" s="4">
        <v>148</v>
      </c>
      <c r="C9" s="4">
        <f t="shared" si="0"/>
        <v>1</v>
      </c>
      <c r="D9" s="4">
        <v>8</v>
      </c>
    </row>
    <row r="10" spans="1:8">
      <c r="A10" s="10" t="s">
        <v>10</v>
      </c>
      <c r="B10" s="4">
        <v>136</v>
      </c>
      <c r="C10" s="4">
        <f t="shared" si="0"/>
        <v>1</v>
      </c>
      <c r="D10" s="4">
        <v>9</v>
      </c>
    </row>
    <row r="11" spans="1:8">
      <c r="A11" s="10" t="s">
        <v>11</v>
      </c>
      <c r="B11" s="4">
        <v>119</v>
      </c>
      <c r="C11" s="4">
        <f t="shared" si="0"/>
        <v>1</v>
      </c>
      <c r="D11" s="4">
        <v>10</v>
      </c>
    </row>
    <row r="12" spans="1:8">
      <c r="A12" s="10" t="s">
        <v>12</v>
      </c>
      <c r="B12" s="4">
        <v>104</v>
      </c>
      <c r="C12" s="4">
        <f t="shared" si="0"/>
        <v>1</v>
      </c>
      <c r="D12" s="4">
        <v>11</v>
      </c>
    </row>
    <row r="13" spans="1:8">
      <c r="A13" s="10" t="s">
        <v>13</v>
      </c>
      <c r="B13" s="4">
        <v>118</v>
      </c>
      <c r="C13" s="4">
        <f t="shared" si="0"/>
        <v>1</v>
      </c>
      <c r="D13" s="4">
        <v>12</v>
      </c>
    </row>
    <row r="14" spans="1:8">
      <c r="A14" s="10" t="s">
        <v>14</v>
      </c>
      <c r="B14" s="4">
        <v>115</v>
      </c>
      <c r="C14" s="4">
        <f t="shared" si="0"/>
        <v>1</v>
      </c>
      <c r="D14" s="4">
        <v>13</v>
      </c>
    </row>
    <row r="15" spans="1:8">
      <c r="A15" s="10" t="s">
        <v>15</v>
      </c>
      <c r="B15" s="4">
        <v>126</v>
      </c>
      <c r="C15" s="4">
        <f t="shared" si="0"/>
        <v>1</v>
      </c>
      <c r="D15" s="4">
        <v>14</v>
      </c>
    </row>
    <row r="16" spans="1:8">
      <c r="A16" s="10" t="s">
        <v>16</v>
      </c>
      <c r="B16" s="4">
        <v>141</v>
      </c>
      <c r="C16" s="4">
        <f t="shared" si="0"/>
        <v>1</v>
      </c>
      <c r="D16" s="4">
        <v>15</v>
      </c>
    </row>
    <row r="17" spans="1:4">
      <c r="A17" s="10" t="s">
        <v>17</v>
      </c>
      <c r="B17" s="4">
        <v>135</v>
      </c>
      <c r="C17" s="4">
        <f t="shared" si="0"/>
        <v>1</v>
      </c>
      <c r="D17" s="4">
        <v>16</v>
      </c>
    </row>
    <row r="18" spans="1:4">
      <c r="A18" s="10" t="s">
        <v>18</v>
      </c>
      <c r="B18" s="4">
        <v>125</v>
      </c>
      <c r="C18" s="4">
        <f t="shared" si="0"/>
        <v>1</v>
      </c>
      <c r="D18" s="4">
        <v>17</v>
      </c>
    </row>
    <row r="19" spans="1:4">
      <c r="A19" s="10" t="s">
        <v>19</v>
      </c>
      <c r="B19" s="4">
        <v>149</v>
      </c>
      <c r="C19" s="4">
        <f t="shared" si="0"/>
        <v>1</v>
      </c>
      <c r="D19" s="4">
        <v>18</v>
      </c>
    </row>
    <row r="20" spans="1:4">
      <c r="A20" s="10" t="s">
        <v>20</v>
      </c>
      <c r="B20" s="4">
        <v>170</v>
      </c>
      <c r="C20" s="4">
        <f t="shared" si="0"/>
        <v>1</v>
      </c>
      <c r="D20" s="4">
        <v>19</v>
      </c>
    </row>
    <row r="21" spans="1:4">
      <c r="A21" s="10" t="s">
        <v>21</v>
      </c>
      <c r="B21" s="4">
        <v>170</v>
      </c>
      <c r="C21" s="4">
        <f t="shared" si="0"/>
        <v>1</v>
      </c>
      <c r="D21" s="4">
        <v>20</v>
      </c>
    </row>
    <row r="22" spans="1:4">
      <c r="A22" s="10" t="s">
        <v>22</v>
      </c>
      <c r="B22" s="4">
        <v>158</v>
      </c>
      <c r="C22" s="4">
        <f t="shared" si="0"/>
        <v>1</v>
      </c>
      <c r="D22" s="4">
        <v>21</v>
      </c>
    </row>
    <row r="23" spans="1:4">
      <c r="A23" s="10" t="s">
        <v>23</v>
      </c>
      <c r="B23" s="4">
        <v>133</v>
      </c>
      <c r="C23" s="4">
        <f t="shared" si="0"/>
        <v>1</v>
      </c>
      <c r="D23" s="4">
        <v>22</v>
      </c>
    </row>
    <row r="24" spans="1:4">
      <c r="A24" s="10" t="s">
        <v>24</v>
      </c>
      <c r="B24" s="4">
        <v>114</v>
      </c>
      <c r="C24" s="4">
        <f t="shared" si="0"/>
        <v>1</v>
      </c>
      <c r="D24" s="4">
        <v>23</v>
      </c>
    </row>
    <row r="25" spans="1:4">
      <c r="A25" s="10" t="s">
        <v>25</v>
      </c>
      <c r="B25" s="4">
        <v>140</v>
      </c>
      <c r="C25" s="4">
        <f t="shared" si="0"/>
        <v>1</v>
      </c>
      <c r="D25" s="4">
        <v>24</v>
      </c>
    </row>
    <row r="26" spans="1:4">
      <c r="A26" s="10" t="s">
        <v>26</v>
      </c>
      <c r="B26" s="4">
        <v>145</v>
      </c>
      <c r="C26" s="4">
        <f t="shared" si="0"/>
        <v>1</v>
      </c>
      <c r="D26" s="4">
        <v>25</v>
      </c>
    </row>
    <row r="27" spans="1:4">
      <c r="A27" s="10" t="s">
        <v>27</v>
      </c>
      <c r="B27" s="4">
        <v>150</v>
      </c>
      <c r="C27" s="4">
        <f t="shared" si="0"/>
        <v>1</v>
      </c>
      <c r="D27" s="4">
        <v>26</v>
      </c>
    </row>
    <row r="28" spans="1:4">
      <c r="A28" s="10" t="s">
        <v>28</v>
      </c>
      <c r="B28" s="4">
        <v>178</v>
      </c>
      <c r="C28" s="4">
        <f t="shared" si="0"/>
        <v>1</v>
      </c>
      <c r="D28" s="4">
        <v>27</v>
      </c>
    </row>
    <row r="29" spans="1:4">
      <c r="A29" s="10" t="s">
        <v>29</v>
      </c>
      <c r="B29" s="4">
        <v>163</v>
      </c>
      <c r="C29" s="4">
        <f t="shared" si="0"/>
        <v>1</v>
      </c>
      <c r="D29" s="4">
        <v>28</v>
      </c>
    </row>
    <row r="30" spans="1:4">
      <c r="A30" s="10" t="s">
        <v>30</v>
      </c>
      <c r="B30" s="4">
        <v>172</v>
      </c>
      <c r="C30" s="4">
        <f t="shared" si="0"/>
        <v>1</v>
      </c>
      <c r="D30" s="4">
        <v>29</v>
      </c>
    </row>
    <row r="31" spans="1:4">
      <c r="A31" s="10" t="s">
        <v>31</v>
      </c>
      <c r="B31" s="4">
        <v>178</v>
      </c>
      <c r="C31" s="4">
        <f t="shared" si="0"/>
        <v>1</v>
      </c>
      <c r="D31" s="4">
        <v>30</v>
      </c>
    </row>
    <row r="32" spans="1:4">
      <c r="A32" s="10" t="s">
        <v>32</v>
      </c>
      <c r="B32" s="4">
        <v>199</v>
      </c>
      <c r="C32" s="4">
        <f t="shared" si="0"/>
        <v>1</v>
      </c>
      <c r="D32" s="4">
        <v>31</v>
      </c>
    </row>
    <row r="33" spans="1:4">
      <c r="A33" s="10" t="s">
        <v>33</v>
      </c>
      <c r="B33" s="4">
        <v>199</v>
      </c>
      <c r="C33" s="4">
        <f t="shared" si="0"/>
        <v>1</v>
      </c>
      <c r="D33" s="4">
        <v>32</v>
      </c>
    </row>
    <row r="34" spans="1:4">
      <c r="A34" s="10" t="s">
        <v>34</v>
      </c>
      <c r="B34" s="4">
        <v>184</v>
      </c>
      <c r="C34" s="4">
        <f t="shared" si="0"/>
        <v>1</v>
      </c>
      <c r="D34" s="4">
        <v>33</v>
      </c>
    </row>
    <row r="35" spans="1:4">
      <c r="A35" s="10" t="s">
        <v>35</v>
      </c>
      <c r="B35" s="4">
        <v>162</v>
      </c>
      <c r="C35" s="4">
        <f t="shared" si="0"/>
        <v>1</v>
      </c>
      <c r="D35" s="4">
        <v>34</v>
      </c>
    </row>
    <row r="36" spans="1:4">
      <c r="A36" s="10" t="s">
        <v>36</v>
      </c>
      <c r="B36" s="4">
        <v>146</v>
      </c>
      <c r="C36" s="4">
        <f t="shared" si="0"/>
        <v>1</v>
      </c>
      <c r="D36" s="4">
        <v>35</v>
      </c>
    </row>
    <row r="37" spans="1:4">
      <c r="A37" s="10" t="s">
        <v>37</v>
      </c>
      <c r="B37" s="4">
        <v>166</v>
      </c>
      <c r="C37" s="4">
        <f t="shared" si="0"/>
        <v>1</v>
      </c>
      <c r="D37" s="4">
        <v>36</v>
      </c>
    </row>
    <row r="38" spans="1:4">
      <c r="A38" s="10" t="s">
        <v>38</v>
      </c>
      <c r="B38" s="4">
        <v>171</v>
      </c>
      <c r="C38" s="4">
        <f t="shared" si="0"/>
        <v>1</v>
      </c>
      <c r="D38" s="4">
        <v>37</v>
      </c>
    </row>
    <row r="39" spans="1:4">
      <c r="A39" s="10" t="s">
        <v>39</v>
      </c>
      <c r="B39" s="4">
        <v>180</v>
      </c>
      <c r="C39" s="4">
        <f t="shared" si="0"/>
        <v>1</v>
      </c>
      <c r="D39" s="4">
        <v>38</v>
      </c>
    </row>
    <row r="40" spans="1:4">
      <c r="A40" s="10" t="s">
        <v>40</v>
      </c>
      <c r="B40" s="4">
        <v>193</v>
      </c>
      <c r="C40" s="4">
        <f t="shared" si="0"/>
        <v>1</v>
      </c>
      <c r="D40" s="4">
        <v>39</v>
      </c>
    </row>
    <row r="41" spans="1:4">
      <c r="A41" s="10" t="s">
        <v>41</v>
      </c>
      <c r="B41" s="4">
        <v>181</v>
      </c>
      <c r="C41" s="4">
        <f t="shared" si="0"/>
        <v>1</v>
      </c>
      <c r="D41" s="4">
        <v>40</v>
      </c>
    </row>
    <row r="42" spans="1:4">
      <c r="A42" s="10" t="s">
        <v>42</v>
      </c>
      <c r="B42" s="4">
        <v>183</v>
      </c>
      <c r="C42" s="4">
        <f t="shared" si="0"/>
        <v>1</v>
      </c>
      <c r="D42" s="4">
        <v>41</v>
      </c>
    </row>
    <row r="43" spans="1:4">
      <c r="A43" s="10" t="s">
        <v>43</v>
      </c>
      <c r="B43" s="4">
        <v>218</v>
      </c>
      <c r="C43" s="4">
        <f t="shared" si="0"/>
        <v>1</v>
      </c>
      <c r="D43" s="4">
        <v>42</v>
      </c>
    </row>
    <row r="44" spans="1:4">
      <c r="A44" s="10" t="s">
        <v>44</v>
      </c>
      <c r="B44" s="4">
        <v>230</v>
      </c>
      <c r="C44" s="4">
        <f t="shared" si="0"/>
        <v>1</v>
      </c>
      <c r="D44" s="4">
        <v>43</v>
      </c>
    </row>
    <row r="45" spans="1:4">
      <c r="A45" s="10" t="s">
        <v>45</v>
      </c>
      <c r="B45" s="4">
        <v>242</v>
      </c>
      <c r="C45" s="4">
        <f t="shared" si="0"/>
        <v>1</v>
      </c>
      <c r="D45" s="4">
        <v>44</v>
      </c>
    </row>
    <row r="46" spans="1:4">
      <c r="A46" s="10" t="s">
        <v>46</v>
      </c>
      <c r="B46" s="4">
        <v>209</v>
      </c>
      <c r="C46" s="4">
        <f t="shared" si="0"/>
        <v>1</v>
      </c>
      <c r="D46" s="4">
        <v>45</v>
      </c>
    </row>
    <row r="47" spans="1:4">
      <c r="A47" s="10" t="s">
        <v>47</v>
      </c>
      <c r="B47" s="4">
        <v>191</v>
      </c>
      <c r="C47" s="4">
        <f t="shared" si="0"/>
        <v>1</v>
      </c>
      <c r="D47" s="4">
        <v>46</v>
      </c>
    </row>
    <row r="48" spans="1:4">
      <c r="A48" s="10" t="s">
        <v>48</v>
      </c>
      <c r="B48" s="4">
        <v>172</v>
      </c>
      <c r="C48" s="4">
        <f t="shared" si="0"/>
        <v>1</v>
      </c>
      <c r="D48" s="4">
        <v>47</v>
      </c>
    </row>
    <row r="49" spans="1:4">
      <c r="A49" s="10" t="s">
        <v>49</v>
      </c>
      <c r="B49" s="4">
        <v>194</v>
      </c>
      <c r="C49" s="4">
        <f t="shared" si="0"/>
        <v>1</v>
      </c>
      <c r="D49" s="4">
        <v>48</v>
      </c>
    </row>
    <row r="50" spans="1:4">
      <c r="A50" s="10" t="s">
        <v>50</v>
      </c>
      <c r="B50" s="4">
        <v>196</v>
      </c>
      <c r="C50" s="4">
        <f t="shared" si="0"/>
        <v>1</v>
      </c>
      <c r="D50" s="4">
        <v>49</v>
      </c>
    </row>
    <row r="51" spans="1:4">
      <c r="A51" s="10" t="s">
        <v>51</v>
      </c>
      <c r="B51" s="4">
        <v>196</v>
      </c>
      <c r="C51" s="4">
        <f t="shared" si="0"/>
        <v>1</v>
      </c>
      <c r="D51" s="4">
        <v>50</v>
      </c>
    </row>
    <row r="52" spans="1:4">
      <c r="A52" s="10" t="s">
        <v>52</v>
      </c>
      <c r="B52" s="4">
        <v>236</v>
      </c>
      <c r="C52" s="4">
        <f t="shared" si="0"/>
        <v>1</v>
      </c>
      <c r="D52" s="4">
        <v>51</v>
      </c>
    </row>
    <row r="53" spans="1:4">
      <c r="A53" s="10" t="s">
        <v>53</v>
      </c>
      <c r="B53" s="4">
        <v>235</v>
      </c>
      <c r="C53" s="4">
        <f t="shared" si="0"/>
        <v>1</v>
      </c>
      <c r="D53" s="4">
        <v>52</v>
      </c>
    </row>
    <row r="54" spans="1:4">
      <c r="A54" s="10" t="s">
        <v>54</v>
      </c>
      <c r="B54" s="4">
        <v>229</v>
      </c>
      <c r="C54" s="4">
        <f t="shared" si="0"/>
        <v>1</v>
      </c>
      <c r="D54" s="4">
        <v>53</v>
      </c>
    </row>
    <row r="55" spans="1:4">
      <c r="A55" s="10" t="s">
        <v>55</v>
      </c>
      <c r="B55" s="4">
        <v>243</v>
      </c>
      <c r="C55" s="4">
        <f t="shared" si="0"/>
        <v>1</v>
      </c>
      <c r="D55" s="4">
        <v>54</v>
      </c>
    </row>
    <row r="56" spans="1:4">
      <c r="A56" s="10" t="s">
        <v>56</v>
      </c>
      <c r="B56" s="4">
        <v>264</v>
      </c>
      <c r="C56" s="4">
        <f t="shared" si="0"/>
        <v>1</v>
      </c>
      <c r="D56" s="4">
        <v>55</v>
      </c>
    </row>
    <row r="57" spans="1:4">
      <c r="A57" s="10" t="s">
        <v>57</v>
      </c>
      <c r="B57" s="4">
        <v>272</v>
      </c>
      <c r="C57" s="4">
        <f t="shared" si="0"/>
        <v>1</v>
      </c>
      <c r="D57" s="4">
        <v>56</v>
      </c>
    </row>
    <row r="58" spans="1:4">
      <c r="A58" s="10" t="s">
        <v>58</v>
      </c>
      <c r="B58" s="4">
        <v>237</v>
      </c>
      <c r="C58" s="4">
        <f t="shared" si="0"/>
        <v>1</v>
      </c>
      <c r="D58" s="4">
        <v>57</v>
      </c>
    </row>
    <row r="59" spans="1:4">
      <c r="A59" s="10" t="s">
        <v>59</v>
      </c>
      <c r="B59" s="4">
        <v>211</v>
      </c>
      <c r="C59" s="4">
        <f t="shared" si="0"/>
        <v>1</v>
      </c>
      <c r="D59" s="4">
        <v>58</v>
      </c>
    </row>
    <row r="60" spans="1:4">
      <c r="A60" s="10" t="s">
        <v>60</v>
      </c>
      <c r="B60" s="4">
        <v>180</v>
      </c>
      <c r="C60" s="4">
        <f t="shared" si="0"/>
        <v>1</v>
      </c>
      <c r="D60" s="4">
        <v>59</v>
      </c>
    </row>
    <row r="61" spans="1:4">
      <c r="A61" s="10" t="s">
        <v>61</v>
      </c>
      <c r="B61" s="4">
        <v>201</v>
      </c>
      <c r="C61" s="4">
        <f t="shared" si="0"/>
        <v>1</v>
      </c>
      <c r="D61" s="4">
        <v>60</v>
      </c>
    </row>
    <row r="62" spans="1:4">
      <c r="A62" s="10" t="s">
        <v>62</v>
      </c>
      <c r="B62" s="4">
        <v>204</v>
      </c>
      <c r="C62" s="4">
        <f t="shared" si="0"/>
        <v>1</v>
      </c>
      <c r="D62" s="4">
        <v>61</v>
      </c>
    </row>
    <row r="63" spans="1:4">
      <c r="A63" s="10" t="s">
        <v>63</v>
      </c>
      <c r="B63" s="4">
        <v>188</v>
      </c>
      <c r="C63" s="4">
        <f t="shared" si="0"/>
        <v>1</v>
      </c>
      <c r="D63" s="4">
        <v>62</v>
      </c>
    </row>
    <row r="64" spans="1:4">
      <c r="A64" s="10" t="s">
        <v>64</v>
      </c>
      <c r="B64" s="4">
        <v>235</v>
      </c>
      <c r="C64" s="4">
        <f t="shared" si="0"/>
        <v>1</v>
      </c>
      <c r="D64" s="4">
        <v>63</v>
      </c>
    </row>
    <row r="65" spans="1:4">
      <c r="A65" s="10" t="s">
        <v>65</v>
      </c>
      <c r="B65" s="4">
        <v>227</v>
      </c>
      <c r="C65" s="4">
        <f t="shared" si="0"/>
        <v>1</v>
      </c>
      <c r="D65" s="4">
        <v>64</v>
      </c>
    </row>
    <row r="66" spans="1:4">
      <c r="A66" s="10" t="s">
        <v>66</v>
      </c>
      <c r="B66" s="4">
        <v>234</v>
      </c>
      <c r="C66" s="4">
        <f t="shared" ref="C66:C129" si="1">IF(ROW()-1 &lt;= train_end_idx, 1, 0)</f>
        <v>1</v>
      </c>
      <c r="D66" s="4">
        <v>65</v>
      </c>
    </row>
    <row r="67" spans="1:4">
      <c r="A67" s="10" t="s">
        <v>67</v>
      </c>
      <c r="B67" s="4">
        <v>264</v>
      </c>
      <c r="C67" s="4">
        <f t="shared" si="1"/>
        <v>1</v>
      </c>
      <c r="D67" s="4">
        <v>66</v>
      </c>
    </row>
    <row r="68" spans="1:4">
      <c r="A68" s="10" t="s">
        <v>68</v>
      </c>
      <c r="B68" s="4">
        <v>302</v>
      </c>
      <c r="C68" s="4">
        <f t="shared" si="1"/>
        <v>1</v>
      </c>
      <c r="D68" s="4">
        <v>67</v>
      </c>
    </row>
    <row r="69" spans="1:4">
      <c r="A69" s="10" t="s">
        <v>69</v>
      </c>
      <c r="B69" s="4">
        <v>293</v>
      </c>
      <c r="C69" s="4">
        <f t="shared" si="1"/>
        <v>1</v>
      </c>
      <c r="D69" s="4">
        <v>68</v>
      </c>
    </row>
    <row r="70" spans="1:4">
      <c r="A70" s="10" t="s">
        <v>70</v>
      </c>
      <c r="B70" s="4">
        <v>259</v>
      </c>
      <c r="C70" s="4">
        <f t="shared" si="1"/>
        <v>1</v>
      </c>
      <c r="D70" s="4">
        <v>69</v>
      </c>
    </row>
    <row r="71" spans="1:4">
      <c r="A71" s="10" t="s">
        <v>71</v>
      </c>
      <c r="B71" s="4">
        <v>229</v>
      </c>
      <c r="C71" s="4">
        <f t="shared" si="1"/>
        <v>1</v>
      </c>
      <c r="D71" s="4">
        <v>70</v>
      </c>
    </row>
    <row r="72" spans="1:4">
      <c r="A72" s="10" t="s">
        <v>72</v>
      </c>
      <c r="B72" s="4">
        <v>203</v>
      </c>
      <c r="C72" s="4">
        <f t="shared" si="1"/>
        <v>1</v>
      </c>
      <c r="D72" s="4">
        <v>71</v>
      </c>
    </row>
    <row r="73" spans="1:4">
      <c r="A73" s="10" t="s">
        <v>73</v>
      </c>
      <c r="B73" s="4">
        <v>229</v>
      </c>
      <c r="C73" s="4">
        <f t="shared" si="1"/>
        <v>1</v>
      </c>
      <c r="D73" s="4">
        <v>72</v>
      </c>
    </row>
    <row r="74" spans="1:4">
      <c r="A74" s="10" t="s">
        <v>74</v>
      </c>
      <c r="B74" s="4">
        <v>242</v>
      </c>
      <c r="C74" s="4">
        <f t="shared" si="1"/>
        <v>1</v>
      </c>
      <c r="D74" s="4">
        <v>73</v>
      </c>
    </row>
    <row r="75" spans="1:4">
      <c r="A75" s="10" t="s">
        <v>75</v>
      </c>
      <c r="B75" s="4">
        <v>233</v>
      </c>
      <c r="C75" s="4">
        <f t="shared" si="1"/>
        <v>1</v>
      </c>
      <c r="D75" s="4">
        <v>74</v>
      </c>
    </row>
    <row r="76" spans="1:4">
      <c r="A76" s="10" t="s">
        <v>76</v>
      </c>
      <c r="B76" s="4">
        <v>267</v>
      </c>
      <c r="C76" s="4">
        <f t="shared" si="1"/>
        <v>1</v>
      </c>
      <c r="D76" s="4">
        <v>75</v>
      </c>
    </row>
    <row r="77" spans="1:4">
      <c r="A77" s="10" t="s">
        <v>77</v>
      </c>
      <c r="B77" s="4">
        <v>269</v>
      </c>
      <c r="C77" s="4">
        <f t="shared" si="1"/>
        <v>1</v>
      </c>
      <c r="D77" s="4">
        <v>76</v>
      </c>
    </row>
    <row r="78" spans="1:4">
      <c r="A78" s="10" t="s">
        <v>78</v>
      </c>
      <c r="B78" s="4">
        <v>270</v>
      </c>
      <c r="C78" s="4">
        <f t="shared" si="1"/>
        <v>1</v>
      </c>
      <c r="D78" s="4">
        <v>77</v>
      </c>
    </row>
    <row r="79" spans="1:4">
      <c r="A79" s="10" t="s">
        <v>79</v>
      </c>
      <c r="B79" s="4">
        <v>315</v>
      </c>
      <c r="C79" s="4">
        <f t="shared" si="1"/>
        <v>1</v>
      </c>
      <c r="D79" s="4">
        <v>78</v>
      </c>
    </row>
    <row r="80" spans="1:4">
      <c r="A80" s="10" t="s">
        <v>80</v>
      </c>
      <c r="B80" s="4">
        <v>364</v>
      </c>
      <c r="C80" s="4">
        <f t="shared" si="1"/>
        <v>1</v>
      </c>
      <c r="D80" s="4">
        <v>79</v>
      </c>
    </row>
    <row r="81" spans="1:4">
      <c r="A81" s="10" t="s">
        <v>81</v>
      </c>
      <c r="B81" s="4">
        <v>347</v>
      </c>
      <c r="C81" s="4">
        <f t="shared" si="1"/>
        <v>1</v>
      </c>
      <c r="D81" s="4">
        <v>80</v>
      </c>
    </row>
    <row r="82" spans="1:4">
      <c r="A82" s="10" t="s">
        <v>82</v>
      </c>
      <c r="B82" s="4">
        <v>312</v>
      </c>
      <c r="C82" s="4">
        <f t="shared" si="1"/>
        <v>1</v>
      </c>
      <c r="D82" s="4">
        <v>81</v>
      </c>
    </row>
    <row r="83" spans="1:4">
      <c r="A83" s="10" t="s">
        <v>83</v>
      </c>
      <c r="B83" s="4">
        <v>274</v>
      </c>
      <c r="C83" s="4">
        <f t="shared" si="1"/>
        <v>1</v>
      </c>
      <c r="D83" s="4">
        <v>82</v>
      </c>
    </row>
    <row r="84" spans="1:4">
      <c r="A84" s="10" t="s">
        <v>84</v>
      </c>
      <c r="B84" s="4">
        <v>237</v>
      </c>
      <c r="C84" s="4">
        <f t="shared" si="1"/>
        <v>1</v>
      </c>
      <c r="D84" s="4">
        <v>83</v>
      </c>
    </row>
    <row r="85" spans="1:4">
      <c r="A85" s="10" t="s">
        <v>85</v>
      </c>
      <c r="B85" s="4">
        <v>278</v>
      </c>
      <c r="C85" s="4">
        <f t="shared" si="1"/>
        <v>1</v>
      </c>
      <c r="D85" s="4">
        <v>84</v>
      </c>
    </row>
    <row r="86" spans="1:4">
      <c r="A86" s="10" t="s">
        <v>86</v>
      </c>
      <c r="B86" s="4">
        <v>284</v>
      </c>
      <c r="C86" s="4">
        <f t="shared" si="1"/>
        <v>1</v>
      </c>
      <c r="D86" s="4">
        <v>85</v>
      </c>
    </row>
    <row r="87" spans="1:4">
      <c r="A87" s="10" t="s">
        <v>87</v>
      </c>
      <c r="B87" s="4">
        <v>277</v>
      </c>
      <c r="C87" s="4">
        <f t="shared" si="1"/>
        <v>1</v>
      </c>
      <c r="D87" s="4">
        <v>86</v>
      </c>
    </row>
    <row r="88" spans="1:4">
      <c r="A88" s="10" t="s">
        <v>88</v>
      </c>
      <c r="B88" s="4">
        <v>317</v>
      </c>
      <c r="C88" s="4">
        <f t="shared" si="1"/>
        <v>1</v>
      </c>
      <c r="D88" s="4">
        <v>87</v>
      </c>
    </row>
    <row r="89" spans="1:4">
      <c r="A89" s="10" t="s">
        <v>89</v>
      </c>
      <c r="B89" s="4">
        <v>313</v>
      </c>
      <c r="C89" s="4">
        <f t="shared" si="1"/>
        <v>1</v>
      </c>
      <c r="D89" s="4">
        <v>88</v>
      </c>
    </row>
    <row r="90" spans="1:4">
      <c r="A90" s="10" t="s">
        <v>90</v>
      </c>
      <c r="B90" s="4">
        <v>318</v>
      </c>
      <c r="C90" s="4">
        <f t="shared" si="1"/>
        <v>1</v>
      </c>
      <c r="D90" s="4">
        <v>89</v>
      </c>
    </row>
    <row r="91" spans="1:4">
      <c r="A91" s="10" t="s">
        <v>91</v>
      </c>
      <c r="B91" s="4">
        <v>374</v>
      </c>
      <c r="C91" s="4">
        <f t="shared" si="1"/>
        <v>1</v>
      </c>
      <c r="D91" s="4">
        <v>90</v>
      </c>
    </row>
    <row r="92" spans="1:4">
      <c r="A92" s="10" t="s">
        <v>92</v>
      </c>
      <c r="B92" s="4">
        <v>413</v>
      </c>
      <c r="C92" s="4">
        <f t="shared" si="1"/>
        <v>1</v>
      </c>
      <c r="D92" s="4">
        <v>91</v>
      </c>
    </row>
    <row r="93" spans="1:4">
      <c r="A93" s="10" t="s">
        <v>93</v>
      </c>
      <c r="B93" s="4">
        <v>405</v>
      </c>
      <c r="C93" s="4">
        <f t="shared" si="1"/>
        <v>1</v>
      </c>
      <c r="D93" s="4">
        <v>92</v>
      </c>
    </row>
    <row r="94" spans="1:4">
      <c r="A94" s="10" t="s">
        <v>94</v>
      </c>
      <c r="B94" s="4">
        <v>355</v>
      </c>
      <c r="C94" s="4">
        <f t="shared" si="1"/>
        <v>1</v>
      </c>
      <c r="D94" s="4">
        <v>93</v>
      </c>
    </row>
    <row r="95" spans="1:4">
      <c r="A95" s="10" t="s">
        <v>95</v>
      </c>
      <c r="B95" s="4">
        <v>306</v>
      </c>
      <c r="C95" s="4">
        <f t="shared" si="1"/>
        <v>1</v>
      </c>
      <c r="D95" s="4">
        <v>94</v>
      </c>
    </row>
    <row r="96" spans="1:4">
      <c r="A96" s="10" t="s">
        <v>96</v>
      </c>
      <c r="B96" s="4">
        <v>271</v>
      </c>
      <c r="C96" s="4">
        <f t="shared" si="1"/>
        <v>1</v>
      </c>
      <c r="D96" s="4">
        <v>95</v>
      </c>
    </row>
    <row r="97" spans="1:4">
      <c r="A97" s="10" t="s">
        <v>97</v>
      </c>
      <c r="B97" s="4">
        <v>306</v>
      </c>
      <c r="C97" s="4">
        <f t="shared" si="1"/>
        <v>1</v>
      </c>
      <c r="D97" s="4">
        <v>96</v>
      </c>
    </row>
    <row r="98" spans="1:4">
      <c r="A98" s="10" t="s">
        <v>98</v>
      </c>
      <c r="B98" s="4">
        <v>315</v>
      </c>
      <c r="C98" s="4">
        <f t="shared" si="1"/>
        <v>1</v>
      </c>
      <c r="D98" s="4">
        <v>97</v>
      </c>
    </row>
    <row r="99" spans="1:4">
      <c r="A99" s="10" t="s">
        <v>99</v>
      </c>
      <c r="B99" s="4">
        <v>301</v>
      </c>
      <c r="C99" s="4">
        <f t="shared" si="1"/>
        <v>1</v>
      </c>
      <c r="D99" s="4">
        <v>98</v>
      </c>
    </row>
    <row r="100" spans="1:4">
      <c r="A100" s="10" t="s">
        <v>100</v>
      </c>
      <c r="B100" s="4">
        <v>356</v>
      </c>
      <c r="C100" s="4">
        <f t="shared" si="1"/>
        <v>1</v>
      </c>
      <c r="D100" s="4">
        <v>99</v>
      </c>
    </row>
    <row r="101" spans="1:4">
      <c r="A101" s="10" t="s">
        <v>101</v>
      </c>
      <c r="B101" s="4">
        <v>348</v>
      </c>
      <c r="C101" s="4">
        <f t="shared" si="1"/>
        <v>1</v>
      </c>
      <c r="D101" s="4">
        <v>100</v>
      </c>
    </row>
    <row r="102" spans="1:4">
      <c r="A102" s="10" t="s">
        <v>102</v>
      </c>
      <c r="B102" s="4">
        <v>355</v>
      </c>
      <c r="C102" s="4">
        <f t="shared" si="1"/>
        <v>1</v>
      </c>
      <c r="D102" s="4">
        <v>101</v>
      </c>
    </row>
    <row r="103" spans="1:4">
      <c r="A103" s="10" t="s">
        <v>103</v>
      </c>
      <c r="B103" s="4">
        <v>422</v>
      </c>
      <c r="C103" s="4">
        <f t="shared" si="1"/>
        <v>1</v>
      </c>
      <c r="D103" s="4">
        <v>102</v>
      </c>
    </row>
    <row r="104" spans="1:4">
      <c r="A104" s="10" t="s">
        <v>104</v>
      </c>
      <c r="B104" s="4">
        <v>465</v>
      </c>
      <c r="C104" s="4">
        <f t="shared" si="1"/>
        <v>1</v>
      </c>
      <c r="D104" s="4">
        <v>103</v>
      </c>
    </row>
    <row r="105" spans="1:4">
      <c r="A105" s="10" t="s">
        <v>105</v>
      </c>
      <c r="B105" s="4">
        <v>467</v>
      </c>
      <c r="C105" s="4">
        <f t="shared" si="1"/>
        <v>1</v>
      </c>
      <c r="D105" s="4">
        <v>104</v>
      </c>
    </row>
    <row r="106" spans="1:4">
      <c r="A106" s="10" t="s">
        <v>106</v>
      </c>
      <c r="B106" s="4">
        <v>404</v>
      </c>
      <c r="C106" s="4">
        <f t="shared" si="1"/>
        <v>1</v>
      </c>
      <c r="D106" s="4">
        <v>105</v>
      </c>
    </row>
    <row r="107" spans="1:4">
      <c r="A107" s="10" t="s">
        <v>107</v>
      </c>
      <c r="B107" s="4">
        <v>347</v>
      </c>
      <c r="C107" s="4">
        <f t="shared" si="1"/>
        <v>1</v>
      </c>
      <c r="D107" s="4">
        <v>106</v>
      </c>
    </row>
    <row r="108" spans="1:4">
      <c r="A108" s="10" t="s">
        <v>108</v>
      </c>
      <c r="B108" s="4">
        <v>305</v>
      </c>
      <c r="C108" s="4">
        <f t="shared" si="1"/>
        <v>1</v>
      </c>
      <c r="D108" s="4">
        <v>107</v>
      </c>
    </row>
    <row r="109" spans="1:4">
      <c r="A109" s="10" t="s">
        <v>109</v>
      </c>
      <c r="B109" s="4">
        <v>336</v>
      </c>
      <c r="C109" s="4">
        <f t="shared" si="1"/>
        <v>1</v>
      </c>
      <c r="D109" s="4">
        <v>108</v>
      </c>
    </row>
    <row r="110" spans="1:4">
      <c r="A110" s="10" t="s">
        <v>110</v>
      </c>
      <c r="B110" s="4">
        <v>340</v>
      </c>
      <c r="C110" s="4">
        <f t="shared" si="1"/>
        <v>1</v>
      </c>
      <c r="D110" s="4">
        <v>109</v>
      </c>
    </row>
    <row r="111" spans="1:4">
      <c r="A111" s="10" t="s">
        <v>111</v>
      </c>
      <c r="B111" s="4">
        <v>318</v>
      </c>
      <c r="C111" s="4">
        <f t="shared" si="1"/>
        <v>1</v>
      </c>
      <c r="D111" s="4">
        <v>110</v>
      </c>
    </row>
    <row r="112" spans="1:4">
      <c r="A112" s="10" t="s">
        <v>112</v>
      </c>
      <c r="B112" s="4">
        <v>362</v>
      </c>
      <c r="C112" s="4">
        <f t="shared" si="1"/>
        <v>1</v>
      </c>
      <c r="D112" s="4">
        <v>111</v>
      </c>
    </row>
    <row r="113" spans="1:4">
      <c r="A113" s="10" t="s">
        <v>113</v>
      </c>
      <c r="B113" s="4">
        <v>348</v>
      </c>
      <c r="C113" s="4">
        <f t="shared" si="1"/>
        <v>1</v>
      </c>
      <c r="D113" s="4">
        <v>112</v>
      </c>
    </row>
    <row r="114" spans="1:4">
      <c r="A114" s="10" t="s">
        <v>114</v>
      </c>
      <c r="B114" s="4">
        <v>363</v>
      </c>
      <c r="C114" s="4">
        <f t="shared" si="1"/>
        <v>1</v>
      </c>
      <c r="D114" s="4">
        <v>113</v>
      </c>
    </row>
    <row r="115" spans="1:4">
      <c r="A115" s="10" t="s">
        <v>115</v>
      </c>
      <c r="B115" s="4">
        <v>435</v>
      </c>
      <c r="C115" s="4">
        <f t="shared" si="1"/>
        <v>1</v>
      </c>
      <c r="D115" s="4">
        <v>114</v>
      </c>
    </row>
    <row r="116" spans="1:4">
      <c r="A116" s="10" t="s">
        <v>116</v>
      </c>
      <c r="B116" s="4">
        <v>491</v>
      </c>
      <c r="C116" s="4">
        <f t="shared" si="1"/>
        <v>1</v>
      </c>
      <c r="D116" s="4">
        <v>115</v>
      </c>
    </row>
    <row r="117" spans="1:4">
      <c r="A117" s="10" t="s">
        <v>117</v>
      </c>
      <c r="B117" s="4">
        <v>505</v>
      </c>
      <c r="C117" s="4">
        <f t="shared" si="1"/>
        <v>1</v>
      </c>
      <c r="D117" s="4">
        <v>116</v>
      </c>
    </row>
    <row r="118" spans="1:4">
      <c r="A118" s="10" t="s">
        <v>118</v>
      </c>
      <c r="B118" s="4">
        <v>404</v>
      </c>
      <c r="C118" s="4">
        <f t="shared" si="1"/>
        <v>1</v>
      </c>
      <c r="D118" s="4">
        <v>117</v>
      </c>
    </row>
    <row r="119" spans="1:4">
      <c r="A119" s="10" t="s">
        <v>119</v>
      </c>
      <c r="B119" s="4">
        <v>359</v>
      </c>
      <c r="C119" s="4">
        <f t="shared" si="1"/>
        <v>1</v>
      </c>
      <c r="D119" s="4">
        <v>118</v>
      </c>
    </row>
    <row r="120" spans="1:4">
      <c r="A120" s="10" t="s">
        <v>120</v>
      </c>
      <c r="B120" s="4">
        <v>310</v>
      </c>
      <c r="C120" s="4">
        <f t="shared" si="1"/>
        <v>1</v>
      </c>
      <c r="D120" s="4">
        <v>119</v>
      </c>
    </row>
    <row r="121" spans="1:4">
      <c r="A121" s="10" t="s">
        <v>121</v>
      </c>
      <c r="B121" s="4">
        <v>337</v>
      </c>
      <c r="C121" s="4">
        <f t="shared" si="1"/>
        <v>1</v>
      </c>
      <c r="D121" s="4">
        <v>120</v>
      </c>
    </row>
    <row r="122" spans="1:4">
      <c r="A122" s="10" t="s">
        <v>122</v>
      </c>
      <c r="B122" s="4">
        <v>360</v>
      </c>
      <c r="C122" s="4">
        <f t="shared" si="1"/>
        <v>1</v>
      </c>
      <c r="D122" s="4">
        <v>121</v>
      </c>
    </row>
    <row r="123" spans="1:4">
      <c r="A123" s="10" t="s">
        <v>123</v>
      </c>
      <c r="B123" s="4">
        <v>342</v>
      </c>
      <c r="C123" s="4">
        <f t="shared" si="1"/>
        <v>1</v>
      </c>
      <c r="D123" s="4">
        <v>122</v>
      </c>
    </row>
    <row r="124" spans="1:4">
      <c r="A124" s="10" t="s">
        <v>124</v>
      </c>
      <c r="B124" s="4">
        <v>406</v>
      </c>
      <c r="C124" s="4">
        <f t="shared" si="1"/>
        <v>1</v>
      </c>
      <c r="D124" s="4">
        <v>123</v>
      </c>
    </row>
    <row r="125" spans="1:4">
      <c r="A125" s="10" t="s">
        <v>125</v>
      </c>
      <c r="B125" s="4">
        <v>396</v>
      </c>
      <c r="C125" s="4">
        <f t="shared" si="1"/>
        <v>1</v>
      </c>
      <c r="D125" s="4">
        <v>124</v>
      </c>
    </row>
    <row r="126" spans="1:4">
      <c r="A126" s="10" t="s">
        <v>126</v>
      </c>
      <c r="B126" s="4">
        <v>420</v>
      </c>
      <c r="C126" s="4">
        <f t="shared" si="1"/>
        <v>1</v>
      </c>
      <c r="D126" s="4">
        <v>125</v>
      </c>
    </row>
    <row r="127" spans="1:4">
      <c r="A127" s="10" t="s">
        <v>127</v>
      </c>
      <c r="B127" s="4">
        <v>472</v>
      </c>
      <c r="C127" s="4">
        <f t="shared" si="1"/>
        <v>1</v>
      </c>
      <c r="D127" s="4">
        <v>126</v>
      </c>
    </row>
    <row r="128" spans="1:4">
      <c r="A128" s="10" t="s">
        <v>128</v>
      </c>
      <c r="B128" s="4">
        <v>548</v>
      </c>
      <c r="C128" s="4">
        <f t="shared" si="1"/>
        <v>1</v>
      </c>
      <c r="D128" s="4">
        <v>127</v>
      </c>
    </row>
    <row r="129" spans="1:4">
      <c r="A129" s="10" t="s">
        <v>129</v>
      </c>
      <c r="B129" s="4">
        <v>559</v>
      </c>
      <c r="C129" s="4">
        <f t="shared" si="1"/>
        <v>1</v>
      </c>
      <c r="D129" s="4">
        <v>128</v>
      </c>
    </row>
    <row r="130" spans="1:4">
      <c r="A130" s="10" t="s">
        <v>130</v>
      </c>
      <c r="B130" s="4">
        <v>463</v>
      </c>
      <c r="C130" s="4">
        <f t="shared" ref="C130:C145" si="2">IF(ROW()-1 &lt;= train_end_idx, 1, 0)</f>
        <v>1</v>
      </c>
      <c r="D130" s="4">
        <v>129</v>
      </c>
    </row>
    <row r="131" spans="1:4">
      <c r="A131" s="10" t="s">
        <v>131</v>
      </c>
      <c r="B131" s="4">
        <v>407</v>
      </c>
      <c r="C131" s="4">
        <f t="shared" si="2"/>
        <v>1</v>
      </c>
      <c r="D131" s="4">
        <v>130</v>
      </c>
    </row>
    <row r="132" spans="1:4">
      <c r="A132" s="10" t="s">
        <v>132</v>
      </c>
      <c r="B132" s="4">
        <v>362</v>
      </c>
      <c r="C132" s="4">
        <f t="shared" si="2"/>
        <v>1</v>
      </c>
      <c r="D132" s="4">
        <v>131</v>
      </c>
    </row>
    <row r="133" spans="1:4">
      <c r="A133" s="10" t="s">
        <v>133</v>
      </c>
      <c r="B133" s="4">
        <v>405</v>
      </c>
      <c r="C133" s="4">
        <f t="shared" si="2"/>
        <v>1</v>
      </c>
      <c r="D133" s="4">
        <v>132</v>
      </c>
    </row>
    <row r="134" spans="1:4">
      <c r="A134" s="10" t="s">
        <v>134</v>
      </c>
      <c r="B134" s="4">
        <v>417</v>
      </c>
      <c r="C134" s="4">
        <f t="shared" si="2"/>
        <v>0</v>
      </c>
      <c r="D134" s="4">
        <v>133</v>
      </c>
    </row>
    <row r="135" spans="1:4">
      <c r="A135" s="10" t="s">
        <v>135</v>
      </c>
      <c r="B135" s="4">
        <v>391</v>
      </c>
      <c r="C135" s="4">
        <f t="shared" si="2"/>
        <v>0</v>
      </c>
      <c r="D135" s="4">
        <v>134</v>
      </c>
    </row>
    <row r="136" spans="1:4">
      <c r="A136" s="10" t="s">
        <v>136</v>
      </c>
      <c r="B136" s="4">
        <v>419</v>
      </c>
      <c r="C136" s="4">
        <f t="shared" si="2"/>
        <v>0</v>
      </c>
      <c r="D136" s="4">
        <v>135</v>
      </c>
    </row>
    <row r="137" spans="1:4">
      <c r="A137" s="10" t="s">
        <v>137</v>
      </c>
      <c r="B137" s="4">
        <v>461</v>
      </c>
      <c r="C137" s="4">
        <f t="shared" si="2"/>
        <v>0</v>
      </c>
      <c r="D137" s="4">
        <v>136</v>
      </c>
    </row>
    <row r="138" spans="1:4">
      <c r="A138" s="10" t="s">
        <v>138</v>
      </c>
      <c r="B138" s="4">
        <v>472</v>
      </c>
      <c r="C138" s="4">
        <f t="shared" si="2"/>
        <v>0</v>
      </c>
      <c r="D138" s="4">
        <v>137</v>
      </c>
    </row>
    <row r="139" spans="1:4">
      <c r="A139" s="10" t="s">
        <v>139</v>
      </c>
      <c r="B139" s="4">
        <v>535</v>
      </c>
      <c r="C139" s="4">
        <f t="shared" si="2"/>
        <v>0</v>
      </c>
      <c r="D139" s="4">
        <v>138</v>
      </c>
    </row>
    <row r="140" spans="1:4">
      <c r="A140" s="10" t="s">
        <v>140</v>
      </c>
      <c r="B140" s="4">
        <v>622</v>
      </c>
      <c r="C140" s="4">
        <f t="shared" si="2"/>
        <v>0</v>
      </c>
      <c r="D140" s="4">
        <v>139</v>
      </c>
    </row>
    <row r="141" spans="1:4">
      <c r="A141" s="10" t="s">
        <v>141</v>
      </c>
      <c r="B141" s="4">
        <v>606</v>
      </c>
      <c r="C141" s="4">
        <f t="shared" si="2"/>
        <v>0</v>
      </c>
      <c r="D141" s="4">
        <v>140</v>
      </c>
    </row>
    <row r="142" spans="1:4">
      <c r="A142" s="10" t="s">
        <v>142</v>
      </c>
      <c r="B142" s="4">
        <v>508</v>
      </c>
      <c r="C142" s="4">
        <f t="shared" si="2"/>
        <v>0</v>
      </c>
      <c r="D142" s="4">
        <v>141</v>
      </c>
    </row>
    <row r="143" spans="1:4">
      <c r="A143" s="10" t="s">
        <v>143</v>
      </c>
      <c r="B143" s="4">
        <v>461</v>
      </c>
      <c r="C143" s="4">
        <f t="shared" si="2"/>
        <v>0</v>
      </c>
      <c r="D143" s="4">
        <v>142</v>
      </c>
    </row>
    <row r="144" spans="1:4">
      <c r="A144" s="10" t="s">
        <v>144</v>
      </c>
      <c r="B144" s="4">
        <v>390</v>
      </c>
      <c r="C144" s="4">
        <f t="shared" si="2"/>
        <v>0</v>
      </c>
      <c r="D144" s="4">
        <v>143</v>
      </c>
    </row>
    <row r="145" spans="1:4">
      <c r="A145" s="10" t="s">
        <v>145</v>
      </c>
      <c r="B145" s="4">
        <v>432</v>
      </c>
      <c r="C145" s="4">
        <f t="shared" si="2"/>
        <v>0</v>
      </c>
      <c r="D145" s="4">
        <v>144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F64D-CC7C-4F08-BB48-2BBD839C25B2}">
  <dimension ref="A1:H14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3" sqref="C13"/>
    </sheetView>
  </sheetViews>
  <sheetFormatPr defaultRowHeight="15"/>
  <cols>
    <col min="1" max="1" width="9.140625" style="4" customWidth="1"/>
    <col min="2" max="2" width="11.140625" style="4" bestFit="1" customWidth="1"/>
    <col min="3" max="3" width="24" style="4" customWidth="1"/>
    <col min="4" max="4" width="15.140625" style="4" bestFit="1" customWidth="1"/>
    <col min="5" max="7" width="9.140625" style="4"/>
    <col min="8" max="8" width="11.28515625" style="4" bestFit="1" customWidth="1"/>
    <col min="9" max="16384" width="9.140625" style="4"/>
  </cols>
  <sheetData>
    <row r="1" spans="1:8" s="2" customFormat="1">
      <c r="A1" s="2" t="s">
        <v>148</v>
      </c>
      <c r="B1" s="2" t="s">
        <v>1</v>
      </c>
      <c r="C1" s="2" t="s">
        <v>149</v>
      </c>
      <c r="D1" s="2" t="s">
        <v>150</v>
      </c>
      <c r="E1" s="2" t="s">
        <v>151</v>
      </c>
      <c r="G1" s="9">
        <f>AVERAGE(C2:C133)</f>
        <v>5.4865360428382832</v>
      </c>
      <c r="H1" s="9">
        <f>_xlfn.STDEV.P(C2:C133)</f>
        <v>0.41464356864858859</v>
      </c>
    </row>
    <row r="2" spans="1:8">
      <c r="A2" s="4">
        <v>1</v>
      </c>
      <c r="B2" s="4">
        <v>112</v>
      </c>
      <c r="C2" s="12">
        <f>LN(B2)</f>
        <v>4.7184988712950942</v>
      </c>
      <c r="D2" s="12">
        <f t="shared" ref="D2:D33" si="0">(C2-$G$1)/$H$1</f>
        <v>-1.8522828511398</v>
      </c>
      <c r="E2" s="12">
        <f>'1_RawData'!C2</f>
        <v>1</v>
      </c>
    </row>
    <row r="3" spans="1:8">
      <c r="A3" s="4">
        <v>2</v>
      </c>
      <c r="B3" s="4">
        <v>118</v>
      </c>
      <c r="C3" s="12">
        <f t="shared" ref="C3:C66" si="1">LN(B3)</f>
        <v>4.7706846244656651</v>
      </c>
      <c r="D3" s="12">
        <f t="shared" si="0"/>
        <v>-1.7264259535140745</v>
      </c>
      <c r="E3" s="12">
        <f>'1_RawData'!C3</f>
        <v>1</v>
      </c>
    </row>
    <row r="4" spans="1:8">
      <c r="A4" s="4">
        <v>3</v>
      </c>
      <c r="B4" s="4">
        <v>132</v>
      </c>
      <c r="C4" s="12">
        <f t="shared" si="1"/>
        <v>4.8828019225863706</v>
      </c>
      <c r="D4" s="12">
        <f t="shared" si="0"/>
        <v>-1.4560315555348182</v>
      </c>
      <c r="E4" s="12">
        <f>'1_RawData'!C4</f>
        <v>1</v>
      </c>
    </row>
    <row r="5" spans="1:8">
      <c r="A5" s="4">
        <v>4</v>
      </c>
      <c r="B5" s="4">
        <v>129</v>
      </c>
      <c r="C5" s="12">
        <f t="shared" si="1"/>
        <v>4.8598124043616719</v>
      </c>
      <c r="D5" s="12">
        <f t="shared" si="0"/>
        <v>-1.5114756042623225</v>
      </c>
      <c r="E5" s="12">
        <f>'1_RawData'!C5</f>
        <v>1</v>
      </c>
    </row>
    <row r="6" spans="1:8">
      <c r="A6" s="4">
        <v>5</v>
      </c>
      <c r="B6" s="4">
        <v>121</v>
      </c>
      <c r="C6" s="12">
        <f t="shared" si="1"/>
        <v>4.7957905455967413</v>
      </c>
      <c r="D6" s="12">
        <f t="shared" si="0"/>
        <v>-1.6658777549422221</v>
      </c>
      <c r="E6" s="12">
        <f>'1_RawData'!C6</f>
        <v>1</v>
      </c>
    </row>
    <row r="7" spans="1:8">
      <c r="A7" s="4">
        <v>6</v>
      </c>
      <c r="B7" s="4">
        <v>135</v>
      </c>
      <c r="C7" s="12">
        <f t="shared" si="1"/>
        <v>4.9052747784384296</v>
      </c>
      <c r="D7" s="12">
        <f t="shared" si="0"/>
        <v>-1.4018335465670129</v>
      </c>
      <c r="E7" s="12">
        <f>'1_RawData'!C7</f>
        <v>1</v>
      </c>
    </row>
    <row r="8" spans="1:8">
      <c r="A8" s="4">
        <v>7</v>
      </c>
      <c r="B8" s="4">
        <v>148</v>
      </c>
      <c r="C8" s="12">
        <f t="shared" si="1"/>
        <v>4.9972122737641147</v>
      </c>
      <c r="D8" s="12">
        <f t="shared" si="0"/>
        <v>-1.1801069787938072</v>
      </c>
      <c r="E8" s="12">
        <f>'1_RawData'!C8</f>
        <v>1</v>
      </c>
    </row>
    <row r="9" spans="1:8">
      <c r="A9" s="4">
        <v>8</v>
      </c>
      <c r="B9" s="4">
        <v>148</v>
      </c>
      <c r="C9" s="12">
        <f t="shared" si="1"/>
        <v>4.9972122737641147</v>
      </c>
      <c r="D9" s="12">
        <f t="shared" si="0"/>
        <v>-1.1801069787938072</v>
      </c>
      <c r="E9" s="12">
        <f>'1_RawData'!C9</f>
        <v>1</v>
      </c>
    </row>
    <row r="10" spans="1:8">
      <c r="A10" s="4">
        <v>9</v>
      </c>
      <c r="B10" s="4">
        <v>136</v>
      </c>
      <c r="C10" s="12">
        <f t="shared" si="1"/>
        <v>4.9126548857360524</v>
      </c>
      <c r="D10" s="12">
        <f t="shared" si="0"/>
        <v>-1.3840348687250386</v>
      </c>
      <c r="E10" s="12">
        <f>'1_RawData'!C10</f>
        <v>1</v>
      </c>
    </row>
    <row r="11" spans="1:8">
      <c r="A11" s="4">
        <v>10</v>
      </c>
      <c r="B11" s="4">
        <v>119</v>
      </c>
      <c r="C11" s="12">
        <f t="shared" si="1"/>
        <v>4.7791234931115296</v>
      </c>
      <c r="D11" s="12">
        <f t="shared" si="0"/>
        <v>-1.7060738504454833</v>
      </c>
      <c r="E11" s="12">
        <f>'1_RawData'!C11</f>
        <v>1</v>
      </c>
    </row>
    <row r="12" spans="1:8">
      <c r="A12" s="4">
        <v>11</v>
      </c>
      <c r="B12" s="4">
        <v>104</v>
      </c>
      <c r="C12" s="12">
        <f t="shared" si="1"/>
        <v>4.6443908991413725</v>
      </c>
      <c r="D12" s="12">
        <f t="shared" si="0"/>
        <v>-2.0310097813445909</v>
      </c>
      <c r="E12" s="12">
        <f>'1_RawData'!C12</f>
        <v>1</v>
      </c>
    </row>
    <row r="13" spans="1:8">
      <c r="A13" s="4">
        <v>12</v>
      </c>
      <c r="B13" s="4">
        <v>118</v>
      </c>
      <c r="C13" s="12">
        <f t="shared" si="1"/>
        <v>4.7706846244656651</v>
      </c>
      <c r="D13" s="12">
        <f t="shared" si="0"/>
        <v>-1.7264259535140745</v>
      </c>
      <c r="E13" s="12">
        <f>'1_RawData'!C13</f>
        <v>1</v>
      </c>
    </row>
    <row r="14" spans="1:8">
      <c r="A14" s="4">
        <v>13</v>
      </c>
      <c r="B14" s="4">
        <v>115</v>
      </c>
      <c r="C14" s="12">
        <f t="shared" si="1"/>
        <v>4.7449321283632502</v>
      </c>
      <c r="D14" s="12">
        <f t="shared" si="0"/>
        <v>-1.7885335033462055</v>
      </c>
      <c r="E14" s="12">
        <f>'1_RawData'!C14</f>
        <v>1</v>
      </c>
    </row>
    <row r="15" spans="1:8">
      <c r="A15" s="4">
        <v>14</v>
      </c>
      <c r="B15" s="4">
        <v>126</v>
      </c>
      <c r="C15" s="12">
        <f t="shared" si="1"/>
        <v>4.836281906951478</v>
      </c>
      <c r="D15" s="12">
        <f t="shared" si="0"/>
        <v>-1.5682243378478569</v>
      </c>
      <c r="E15" s="12">
        <f>'1_RawData'!C15</f>
        <v>1</v>
      </c>
    </row>
    <row r="16" spans="1:8">
      <c r="A16" s="4">
        <v>15</v>
      </c>
      <c r="B16" s="4">
        <v>141</v>
      </c>
      <c r="C16" s="12">
        <f t="shared" si="1"/>
        <v>4.9487598903781684</v>
      </c>
      <c r="D16" s="12">
        <f t="shared" si="0"/>
        <v>-1.296960071544921</v>
      </c>
      <c r="E16" s="12">
        <f>'1_RawData'!C16</f>
        <v>1</v>
      </c>
    </row>
    <row r="17" spans="1:5">
      <c r="A17" s="4">
        <v>16</v>
      </c>
      <c r="B17" s="4">
        <v>135</v>
      </c>
      <c r="C17" s="12">
        <f t="shared" si="1"/>
        <v>4.9052747784384296</v>
      </c>
      <c r="D17" s="12">
        <f t="shared" si="0"/>
        <v>-1.4018335465670129</v>
      </c>
      <c r="E17" s="12">
        <f>'1_RawData'!C17</f>
        <v>1</v>
      </c>
    </row>
    <row r="18" spans="1:5">
      <c r="A18" s="4">
        <v>17</v>
      </c>
      <c r="B18" s="4">
        <v>125</v>
      </c>
      <c r="C18" s="12">
        <f t="shared" si="1"/>
        <v>4.8283137373023015</v>
      </c>
      <c r="D18" s="12">
        <f t="shared" si="0"/>
        <v>-1.5874412514856264</v>
      </c>
      <c r="E18" s="12">
        <f>'1_RawData'!C18</f>
        <v>1</v>
      </c>
    </row>
    <row r="19" spans="1:5">
      <c r="A19" s="4">
        <v>18</v>
      </c>
      <c r="B19" s="4">
        <v>149</v>
      </c>
      <c r="C19" s="12">
        <f t="shared" si="1"/>
        <v>5.0039463059454592</v>
      </c>
      <c r="D19" s="12">
        <f t="shared" si="0"/>
        <v>-1.1638664467067135</v>
      </c>
      <c r="E19" s="12">
        <f>'1_RawData'!C19</f>
        <v>1</v>
      </c>
    </row>
    <row r="20" spans="1:5">
      <c r="A20" s="4">
        <v>19</v>
      </c>
      <c r="B20" s="4">
        <v>170</v>
      </c>
      <c r="C20" s="12">
        <f t="shared" si="1"/>
        <v>5.1357984370502621</v>
      </c>
      <c r="D20" s="12">
        <f t="shared" si="0"/>
        <v>-0.84587735662016772</v>
      </c>
      <c r="E20" s="12">
        <f>'1_RawData'!C20</f>
        <v>1</v>
      </c>
    </row>
    <row r="21" spans="1:5">
      <c r="A21" s="4">
        <v>20</v>
      </c>
      <c r="B21" s="4">
        <v>170</v>
      </c>
      <c r="C21" s="12">
        <f t="shared" si="1"/>
        <v>5.1357984370502621</v>
      </c>
      <c r="D21" s="12">
        <f t="shared" si="0"/>
        <v>-0.84587735662016772</v>
      </c>
      <c r="E21" s="12">
        <f>'1_RawData'!C21</f>
        <v>1</v>
      </c>
    </row>
    <row r="22" spans="1:5">
      <c r="A22" s="4">
        <v>21</v>
      </c>
      <c r="B22" s="4">
        <v>158</v>
      </c>
      <c r="C22" s="12">
        <f t="shared" si="1"/>
        <v>5.0625950330269669</v>
      </c>
      <c r="D22" s="12">
        <f t="shared" si="0"/>
        <v>-1.0224227309084524</v>
      </c>
      <c r="E22" s="12">
        <f>'1_RawData'!C22</f>
        <v>1</v>
      </c>
    </row>
    <row r="23" spans="1:5">
      <c r="A23" s="4">
        <v>22</v>
      </c>
      <c r="B23" s="4">
        <v>133</v>
      </c>
      <c r="C23" s="12">
        <f t="shared" si="1"/>
        <v>4.8903491282217537</v>
      </c>
      <c r="D23" s="12">
        <f t="shared" si="0"/>
        <v>-1.4378298849771847</v>
      </c>
      <c r="E23" s="12">
        <f>'1_RawData'!C23</f>
        <v>1</v>
      </c>
    </row>
    <row r="24" spans="1:5">
      <c r="A24" s="4">
        <v>23</v>
      </c>
      <c r="B24" s="4">
        <v>114</v>
      </c>
      <c r="C24" s="12">
        <f t="shared" si="1"/>
        <v>4.7361984483944957</v>
      </c>
      <c r="D24" s="12">
        <f t="shared" si="0"/>
        <v>-1.8095966058012116</v>
      </c>
      <c r="E24" s="12">
        <f>'1_RawData'!C24</f>
        <v>1</v>
      </c>
    </row>
    <row r="25" spans="1:5">
      <c r="A25" s="4">
        <v>24</v>
      </c>
      <c r="B25" s="4">
        <v>140</v>
      </c>
      <c r="C25" s="12">
        <f t="shared" si="1"/>
        <v>4.9416424226093039</v>
      </c>
      <c r="D25" s="12">
        <f t="shared" si="0"/>
        <v>-1.314125339034929</v>
      </c>
      <c r="E25" s="12">
        <f>'1_RawData'!C25</f>
        <v>1</v>
      </c>
    </row>
    <row r="26" spans="1:5">
      <c r="A26" s="4">
        <v>25</v>
      </c>
      <c r="B26" s="4">
        <v>145</v>
      </c>
      <c r="C26" s="12">
        <f t="shared" si="1"/>
        <v>4.9767337424205742</v>
      </c>
      <c r="D26" s="12">
        <f t="shared" si="0"/>
        <v>-1.2294952555981102</v>
      </c>
      <c r="E26" s="12">
        <f>'1_RawData'!C26</f>
        <v>1</v>
      </c>
    </row>
    <row r="27" spans="1:5">
      <c r="A27" s="4">
        <v>26</v>
      </c>
      <c r="B27" s="4">
        <v>150</v>
      </c>
      <c r="C27" s="12">
        <f t="shared" si="1"/>
        <v>5.0106352940962555</v>
      </c>
      <c r="D27" s="12">
        <f t="shared" si="0"/>
        <v>-1.147734547754085</v>
      </c>
      <c r="E27" s="12">
        <f>'1_RawData'!C27</f>
        <v>1</v>
      </c>
    </row>
    <row r="28" spans="1:5">
      <c r="A28" s="4">
        <v>27</v>
      </c>
      <c r="B28" s="4">
        <v>178</v>
      </c>
      <c r="C28" s="12">
        <f t="shared" si="1"/>
        <v>5.181783550292085</v>
      </c>
      <c r="D28" s="12">
        <f t="shared" si="0"/>
        <v>-0.73497460370469814</v>
      </c>
      <c r="E28" s="12">
        <f>'1_RawData'!C28</f>
        <v>1</v>
      </c>
    </row>
    <row r="29" spans="1:5">
      <c r="A29" s="4">
        <v>28</v>
      </c>
      <c r="B29" s="4">
        <v>163</v>
      </c>
      <c r="C29" s="12">
        <f t="shared" si="1"/>
        <v>5.0937502008067623</v>
      </c>
      <c r="D29" s="12">
        <f t="shared" si="0"/>
        <v>-0.94728550429877234</v>
      </c>
      <c r="E29" s="12">
        <f>'1_RawData'!C29</f>
        <v>1</v>
      </c>
    </row>
    <row r="30" spans="1:5">
      <c r="A30" s="4">
        <v>29</v>
      </c>
      <c r="B30" s="4">
        <v>172</v>
      </c>
      <c r="C30" s="12">
        <f t="shared" si="1"/>
        <v>5.1474944768134527</v>
      </c>
      <c r="D30" s="12">
        <f t="shared" si="0"/>
        <v>-0.81766990171785114</v>
      </c>
      <c r="E30" s="12">
        <f>'1_RawData'!C30</f>
        <v>1</v>
      </c>
    </row>
    <row r="31" spans="1:5">
      <c r="A31" s="4">
        <v>30</v>
      </c>
      <c r="B31" s="4">
        <v>178</v>
      </c>
      <c r="C31" s="12">
        <f t="shared" si="1"/>
        <v>5.181783550292085</v>
      </c>
      <c r="D31" s="12">
        <f t="shared" si="0"/>
        <v>-0.73497460370469814</v>
      </c>
      <c r="E31" s="12">
        <f>'1_RawData'!C31</f>
        <v>1</v>
      </c>
    </row>
    <row r="32" spans="1:5">
      <c r="A32" s="4">
        <v>31</v>
      </c>
      <c r="B32" s="4">
        <v>199</v>
      </c>
      <c r="C32" s="12">
        <f t="shared" si="1"/>
        <v>5.2933048247244923</v>
      </c>
      <c r="D32" s="12">
        <f t="shared" si="0"/>
        <v>-0.46601764195589124</v>
      </c>
      <c r="E32" s="12">
        <f>'1_RawData'!C32</f>
        <v>1</v>
      </c>
    </row>
    <row r="33" spans="1:5">
      <c r="A33" s="4">
        <v>32</v>
      </c>
      <c r="B33" s="4">
        <v>199</v>
      </c>
      <c r="C33" s="12">
        <f t="shared" si="1"/>
        <v>5.2933048247244923</v>
      </c>
      <c r="D33" s="12">
        <f t="shared" si="0"/>
        <v>-0.46601764195589124</v>
      </c>
      <c r="E33" s="12">
        <f>'1_RawData'!C33</f>
        <v>1</v>
      </c>
    </row>
    <row r="34" spans="1:5">
      <c r="A34" s="4">
        <v>33</v>
      </c>
      <c r="B34" s="4">
        <v>184</v>
      </c>
      <c r="C34" s="12">
        <f t="shared" si="1"/>
        <v>5.2149357576089859</v>
      </c>
      <c r="D34" s="12">
        <f t="shared" ref="D34:D65" si="2">(C34-$G$1)/$H$1</f>
        <v>-0.65502109707019052</v>
      </c>
      <c r="E34" s="12">
        <f>'1_RawData'!C34</f>
        <v>1</v>
      </c>
    </row>
    <row r="35" spans="1:5">
      <c r="A35" s="4">
        <v>34</v>
      </c>
      <c r="B35" s="4">
        <v>162</v>
      </c>
      <c r="C35" s="12">
        <f t="shared" si="1"/>
        <v>5.0875963352323836</v>
      </c>
      <c r="D35" s="12">
        <f t="shared" si="2"/>
        <v>-0.96212684283547134</v>
      </c>
      <c r="E35" s="12">
        <f>'1_RawData'!C35</f>
        <v>1</v>
      </c>
    </row>
    <row r="36" spans="1:5">
      <c r="A36" s="4">
        <v>35</v>
      </c>
      <c r="B36" s="4">
        <v>146</v>
      </c>
      <c r="C36" s="12">
        <f t="shared" si="1"/>
        <v>4.9836066217083363</v>
      </c>
      <c r="D36" s="12">
        <f t="shared" si="2"/>
        <v>-1.212919864569709</v>
      </c>
      <c r="E36" s="12">
        <f>'1_RawData'!C36</f>
        <v>1</v>
      </c>
    </row>
    <row r="37" spans="1:5">
      <c r="A37" s="4">
        <v>36</v>
      </c>
      <c r="B37" s="4">
        <v>166</v>
      </c>
      <c r="C37" s="12">
        <f t="shared" si="1"/>
        <v>5.1119877883565437</v>
      </c>
      <c r="D37" s="12">
        <f t="shared" si="2"/>
        <v>-0.90330173383002621</v>
      </c>
      <c r="E37" s="12">
        <f>'1_RawData'!C37</f>
        <v>1</v>
      </c>
    </row>
    <row r="38" spans="1:5">
      <c r="A38" s="4">
        <v>37</v>
      </c>
      <c r="B38" s="4">
        <v>171</v>
      </c>
      <c r="C38" s="12">
        <f t="shared" si="1"/>
        <v>5.1416635565026603</v>
      </c>
      <c r="D38" s="12">
        <f t="shared" si="2"/>
        <v>-0.83173238996479693</v>
      </c>
      <c r="E38" s="12">
        <f>'1_RawData'!C38</f>
        <v>1</v>
      </c>
    </row>
    <row r="39" spans="1:5">
      <c r="A39" s="4">
        <v>38</v>
      </c>
      <c r="B39" s="4">
        <v>180</v>
      </c>
      <c r="C39" s="12">
        <f t="shared" si="1"/>
        <v>5.1929568508902104</v>
      </c>
      <c r="D39" s="12">
        <f t="shared" si="2"/>
        <v>-0.70802784402254137</v>
      </c>
      <c r="E39" s="12">
        <f>'1_RawData'!C39</f>
        <v>1</v>
      </c>
    </row>
    <row r="40" spans="1:5">
      <c r="A40" s="4">
        <v>39</v>
      </c>
      <c r="B40" s="4">
        <v>193</v>
      </c>
      <c r="C40" s="12">
        <f t="shared" si="1"/>
        <v>5.2626901889048856</v>
      </c>
      <c r="D40" s="12">
        <f t="shared" si="2"/>
        <v>-0.53985126228524116</v>
      </c>
      <c r="E40" s="12">
        <f>'1_RawData'!C40</f>
        <v>1</v>
      </c>
    </row>
    <row r="41" spans="1:5">
      <c r="A41" s="4">
        <v>40</v>
      </c>
      <c r="B41" s="4">
        <v>181</v>
      </c>
      <c r="C41" s="12">
        <f t="shared" si="1"/>
        <v>5.1984970312658261</v>
      </c>
      <c r="D41" s="12">
        <f t="shared" si="2"/>
        <v>-0.69466653615595064</v>
      </c>
      <c r="E41" s="12">
        <f>'1_RawData'!C41</f>
        <v>1</v>
      </c>
    </row>
    <row r="42" spans="1:5">
      <c r="A42" s="4">
        <v>41</v>
      </c>
      <c r="B42" s="4">
        <v>183</v>
      </c>
      <c r="C42" s="12">
        <f t="shared" si="1"/>
        <v>5.2094861528414214</v>
      </c>
      <c r="D42" s="12">
        <f t="shared" si="2"/>
        <v>-0.66816396284603252</v>
      </c>
      <c r="E42" s="12">
        <f>'1_RawData'!C42</f>
        <v>1</v>
      </c>
    </row>
    <row r="43" spans="1:5">
      <c r="A43" s="4">
        <v>42</v>
      </c>
      <c r="B43" s="4">
        <v>218</v>
      </c>
      <c r="C43" s="12">
        <f t="shared" si="1"/>
        <v>5.3844950627890888</v>
      </c>
      <c r="D43" s="12">
        <f t="shared" si="2"/>
        <v>-0.24609324191803478</v>
      </c>
      <c r="E43" s="12">
        <f>'1_RawData'!C43</f>
        <v>1</v>
      </c>
    </row>
    <row r="44" spans="1:5">
      <c r="A44" s="4">
        <v>43</v>
      </c>
      <c r="B44" s="4">
        <v>230</v>
      </c>
      <c r="C44" s="12">
        <f t="shared" si="1"/>
        <v>5.4380793089231956</v>
      </c>
      <c r="D44" s="12">
        <f t="shared" si="2"/>
        <v>-0.11686358496531957</v>
      </c>
      <c r="E44" s="12">
        <f>'1_RawData'!C44</f>
        <v>1</v>
      </c>
    </row>
    <row r="45" spans="1:5">
      <c r="A45" s="4">
        <v>44</v>
      </c>
      <c r="B45" s="4">
        <v>242</v>
      </c>
      <c r="C45" s="12">
        <f t="shared" si="1"/>
        <v>5.4889377261566867</v>
      </c>
      <c r="D45" s="12">
        <f t="shared" si="2"/>
        <v>5.7921634386639814E-3</v>
      </c>
      <c r="E45" s="12">
        <f>'1_RawData'!C45</f>
        <v>1</v>
      </c>
    </row>
    <row r="46" spans="1:5">
      <c r="A46" s="4">
        <v>45</v>
      </c>
      <c r="B46" s="4">
        <v>209</v>
      </c>
      <c r="C46" s="12">
        <f t="shared" si="1"/>
        <v>5.3423342519648109</v>
      </c>
      <c r="D46" s="12">
        <f t="shared" si="2"/>
        <v>-0.34777288682773144</v>
      </c>
      <c r="E46" s="12">
        <f>'1_RawData'!C46</f>
        <v>1</v>
      </c>
    </row>
    <row r="47" spans="1:5">
      <c r="A47" s="4">
        <v>46</v>
      </c>
      <c r="B47" s="4">
        <v>191</v>
      </c>
      <c r="C47" s="12">
        <f t="shared" si="1"/>
        <v>5.2522734280466299</v>
      </c>
      <c r="D47" s="12">
        <f t="shared" si="2"/>
        <v>-0.56497346758606415</v>
      </c>
      <c r="E47" s="12">
        <f>'1_RawData'!C47</f>
        <v>1</v>
      </c>
    </row>
    <row r="48" spans="1:5">
      <c r="A48" s="4">
        <v>47</v>
      </c>
      <c r="B48" s="4">
        <v>172</v>
      </c>
      <c r="C48" s="12">
        <f t="shared" si="1"/>
        <v>5.1474944768134527</v>
      </c>
      <c r="D48" s="12">
        <f t="shared" si="2"/>
        <v>-0.81766990171785114</v>
      </c>
      <c r="E48" s="12">
        <f>'1_RawData'!C48</f>
        <v>1</v>
      </c>
    </row>
    <row r="49" spans="1:5">
      <c r="A49" s="4">
        <v>48</v>
      </c>
      <c r="B49" s="4">
        <v>194</v>
      </c>
      <c r="C49" s="12">
        <f t="shared" si="1"/>
        <v>5.2678581590633282</v>
      </c>
      <c r="D49" s="12">
        <f t="shared" si="2"/>
        <v>-0.5273876174847536</v>
      </c>
      <c r="E49" s="12">
        <f>'1_RawData'!C49</f>
        <v>1</v>
      </c>
    </row>
    <row r="50" spans="1:5">
      <c r="A50" s="4">
        <v>49</v>
      </c>
      <c r="B50" s="4">
        <v>196</v>
      </c>
      <c r="C50" s="12">
        <f t="shared" si="1"/>
        <v>5.2781146592305168</v>
      </c>
      <c r="D50" s="12">
        <f t="shared" si="2"/>
        <v>-0.50265191447935864</v>
      </c>
      <c r="E50" s="12">
        <f>'1_RawData'!C50</f>
        <v>1</v>
      </c>
    </row>
    <row r="51" spans="1:5">
      <c r="A51" s="4">
        <v>50</v>
      </c>
      <c r="B51" s="4">
        <v>196</v>
      </c>
      <c r="C51" s="12">
        <f t="shared" si="1"/>
        <v>5.2781146592305168</v>
      </c>
      <c r="D51" s="12">
        <f t="shared" si="2"/>
        <v>-0.50265191447935864</v>
      </c>
      <c r="E51" s="12">
        <f>'1_RawData'!C51</f>
        <v>1</v>
      </c>
    </row>
    <row r="52" spans="1:5">
      <c r="A52" s="4">
        <v>51</v>
      </c>
      <c r="B52" s="4">
        <v>236</v>
      </c>
      <c r="C52" s="12">
        <f t="shared" si="1"/>
        <v>5.4638318050256105</v>
      </c>
      <c r="D52" s="12">
        <f t="shared" si="2"/>
        <v>-5.4756035133188379E-2</v>
      </c>
      <c r="E52" s="12">
        <f>'1_RawData'!C52</f>
        <v>1</v>
      </c>
    </row>
    <row r="53" spans="1:5">
      <c r="A53" s="4">
        <v>52</v>
      </c>
      <c r="B53" s="4">
        <v>235</v>
      </c>
      <c r="C53" s="12">
        <f t="shared" si="1"/>
        <v>5.4595855141441589</v>
      </c>
      <c r="D53" s="12">
        <f t="shared" si="2"/>
        <v>-6.4996856895578492E-2</v>
      </c>
      <c r="E53" s="12">
        <f>'1_RawData'!C53</f>
        <v>1</v>
      </c>
    </row>
    <row r="54" spans="1:5">
      <c r="A54" s="4">
        <v>53</v>
      </c>
      <c r="B54" s="4">
        <v>229</v>
      </c>
      <c r="C54" s="12">
        <f t="shared" si="1"/>
        <v>5.43372200355424</v>
      </c>
      <c r="D54" s="12">
        <f t="shared" si="2"/>
        <v>-0.12737214146640555</v>
      </c>
      <c r="E54" s="12">
        <f>'1_RawData'!C54</f>
        <v>1</v>
      </c>
    </row>
    <row r="55" spans="1:5">
      <c r="A55" s="4">
        <v>54</v>
      </c>
      <c r="B55" s="4">
        <v>243</v>
      </c>
      <c r="C55" s="12">
        <f t="shared" si="1"/>
        <v>5.4930614433405482</v>
      </c>
      <c r="D55" s="12">
        <f t="shared" si="2"/>
        <v>1.5737373000943165E-2</v>
      </c>
      <c r="E55" s="12">
        <f>'1_RawData'!C55</f>
        <v>1</v>
      </c>
    </row>
    <row r="56" spans="1:5">
      <c r="A56" s="4">
        <v>55</v>
      </c>
      <c r="B56" s="4">
        <v>264</v>
      </c>
      <c r="C56" s="12">
        <f t="shared" si="1"/>
        <v>5.575949103146316</v>
      </c>
      <c r="D56" s="12">
        <f t="shared" si="2"/>
        <v>0.21563836284606777</v>
      </c>
      <c r="E56" s="12">
        <f>'1_RawData'!C56</f>
        <v>1</v>
      </c>
    </row>
    <row r="57" spans="1:5">
      <c r="A57" s="4">
        <v>56</v>
      </c>
      <c r="B57" s="4">
        <v>272</v>
      </c>
      <c r="C57" s="12">
        <f t="shared" si="1"/>
        <v>5.6058020662959978</v>
      </c>
      <c r="D57" s="12">
        <f t="shared" si="2"/>
        <v>0.28763504965584735</v>
      </c>
      <c r="E57" s="12">
        <f>'1_RawData'!C57</f>
        <v>1</v>
      </c>
    </row>
    <row r="58" spans="1:5">
      <c r="A58" s="4">
        <v>57</v>
      </c>
      <c r="B58" s="4">
        <v>237</v>
      </c>
      <c r="C58" s="12">
        <f t="shared" si="1"/>
        <v>5.4680601411351315</v>
      </c>
      <c r="D58" s="12">
        <f t="shared" si="2"/>
        <v>-4.455851507203791E-2</v>
      </c>
      <c r="E58" s="12">
        <f>'1_RawData'!C58</f>
        <v>1</v>
      </c>
    </row>
    <row r="59" spans="1:5">
      <c r="A59" s="4">
        <v>58</v>
      </c>
      <c r="B59" s="4">
        <v>211</v>
      </c>
      <c r="C59" s="12">
        <f t="shared" si="1"/>
        <v>5.3518581334760666</v>
      </c>
      <c r="D59" s="12">
        <f t="shared" si="2"/>
        <v>-0.32480404748869124</v>
      </c>
      <c r="E59" s="12">
        <f>'1_RawData'!C59</f>
        <v>1</v>
      </c>
    </row>
    <row r="60" spans="1:5">
      <c r="A60" s="4">
        <v>59</v>
      </c>
      <c r="B60" s="4">
        <v>180</v>
      </c>
      <c r="C60" s="12">
        <f t="shared" si="1"/>
        <v>5.1929568508902104</v>
      </c>
      <c r="D60" s="12">
        <f t="shared" si="2"/>
        <v>-0.70802784402254137</v>
      </c>
      <c r="E60" s="12">
        <f>'1_RawData'!C60</f>
        <v>1</v>
      </c>
    </row>
    <row r="61" spans="1:5">
      <c r="A61" s="4">
        <v>60</v>
      </c>
      <c r="B61" s="4">
        <v>201</v>
      </c>
      <c r="C61" s="12">
        <f t="shared" si="1"/>
        <v>5.3033049080590757</v>
      </c>
      <c r="D61" s="12">
        <f t="shared" si="2"/>
        <v>-0.44190034196453754</v>
      </c>
      <c r="E61" s="12">
        <f>'1_RawData'!C61</f>
        <v>1</v>
      </c>
    </row>
    <row r="62" spans="1:5">
      <c r="A62" s="4">
        <v>61</v>
      </c>
      <c r="B62" s="4">
        <v>204</v>
      </c>
      <c r="C62" s="12">
        <f t="shared" si="1"/>
        <v>5.3181199938442161</v>
      </c>
      <c r="D62" s="12">
        <f t="shared" si="2"/>
        <v>-0.40617065288862625</v>
      </c>
      <c r="E62" s="12">
        <f>'1_RawData'!C62</f>
        <v>1</v>
      </c>
    </row>
    <row r="63" spans="1:5">
      <c r="A63" s="4">
        <v>62</v>
      </c>
      <c r="B63" s="4">
        <v>188</v>
      </c>
      <c r="C63" s="12">
        <f t="shared" si="1"/>
        <v>5.2364419628299492</v>
      </c>
      <c r="D63" s="12">
        <f t="shared" si="2"/>
        <v>-0.6031543690004495</v>
      </c>
      <c r="E63" s="12">
        <f>'1_RawData'!C63</f>
        <v>1</v>
      </c>
    </row>
    <row r="64" spans="1:5">
      <c r="A64" s="4">
        <v>63</v>
      </c>
      <c r="B64" s="4">
        <v>235</v>
      </c>
      <c r="C64" s="12">
        <f t="shared" si="1"/>
        <v>5.4595855141441589</v>
      </c>
      <c r="D64" s="12">
        <f t="shared" si="2"/>
        <v>-6.4996856895578492E-2</v>
      </c>
      <c r="E64" s="12">
        <f>'1_RawData'!C64</f>
        <v>1</v>
      </c>
    </row>
    <row r="65" spans="1:5">
      <c r="A65" s="4">
        <v>64</v>
      </c>
      <c r="B65" s="4">
        <v>227</v>
      </c>
      <c r="C65" s="12">
        <f t="shared" si="1"/>
        <v>5.4249500174814029</v>
      </c>
      <c r="D65" s="12">
        <f t="shared" si="2"/>
        <v>-0.14852762713190565</v>
      </c>
      <c r="E65" s="12">
        <f>'1_RawData'!C65</f>
        <v>1</v>
      </c>
    </row>
    <row r="66" spans="1:5">
      <c r="A66" s="4">
        <v>65</v>
      </c>
      <c r="B66" s="4">
        <v>234</v>
      </c>
      <c r="C66" s="12">
        <f t="shared" si="1"/>
        <v>5.4553211153577017</v>
      </c>
      <c r="D66" s="12">
        <f t="shared" ref="D66:D97" si="3">(C66-$G$1)/$H$1</f>
        <v>-7.5281349671761699E-2</v>
      </c>
      <c r="E66" s="12">
        <f>'1_RawData'!C66</f>
        <v>1</v>
      </c>
    </row>
    <row r="67" spans="1:5">
      <c r="A67" s="4">
        <v>66</v>
      </c>
      <c r="B67" s="4">
        <v>264</v>
      </c>
      <c r="C67" s="12">
        <f t="shared" ref="C67:C130" si="4">LN(B67)</f>
        <v>5.575949103146316</v>
      </c>
      <c r="D67" s="12">
        <f t="shared" si="3"/>
        <v>0.21563836284606777</v>
      </c>
      <c r="E67" s="12">
        <f>'1_RawData'!C67</f>
        <v>1</v>
      </c>
    </row>
    <row r="68" spans="1:5">
      <c r="A68" s="4">
        <v>67</v>
      </c>
      <c r="B68" s="4">
        <v>302</v>
      </c>
      <c r="C68" s="12">
        <f t="shared" si="4"/>
        <v>5.7104270173748697</v>
      </c>
      <c r="D68" s="12">
        <f t="shared" si="3"/>
        <v>0.53996008009070218</v>
      </c>
      <c r="E68" s="12">
        <f>'1_RawData'!C68</f>
        <v>1</v>
      </c>
    </row>
    <row r="69" spans="1:5">
      <c r="A69" s="4">
        <v>68</v>
      </c>
      <c r="B69" s="4">
        <v>293</v>
      </c>
      <c r="C69" s="12">
        <f t="shared" si="4"/>
        <v>5.6801726090170677</v>
      </c>
      <c r="D69" s="12">
        <f t="shared" si="3"/>
        <v>0.4669952238976891</v>
      </c>
      <c r="E69" s="12">
        <f>'1_RawData'!C69</f>
        <v>1</v>
      </c>
    </row>
    <row r="70" spans="1:5">
      <c r="A70" s="4">
        <v>69</v>
      </c>
      <c r="B70" s="4">
        <v>259</v>
      </c>
      <c r="C70" s="12">
        <f t="shared" si="4"/>
        <v>5.5568280616995374</v>
      </c>
      <c r="D70" s="12">
        <f t="shared" si="3"/>
        <v>0.1695239578666341</v>
      </c>
      <c r="E70" s="12">
        <f>'1_RawData'!C70</f>
        <v>1</v>
      </c>
    </row>
    <row r="71" spans="1:5">
      <c r="A71" s="4">
        <v>70</v>
      </c>
      <c r="B71" s="4">
        <v>229</v>
      </c>
      <c r="C71" s="12">
        <f t="shared" si="4"/>
        <v>5.43372200355424</v>
      </c>
      <c r="D71" s="12">
        <f t="shared" si="3"/>
        <v>-0.12737214146640555</v>
      </c>
      <c r="E71" s="12">
        <f>'1_RawData'!C71</f>
        <v>1</v>
      </c>
    </row>
    <row r="72" spans="1:5">
      <c r="A72" s="4">
        <v>71</v>
      </c>
      <c r="B72" s="4">
        <v>203</v>
      </c>
      <c r="C72" s="12">
        <f t="shared" si="4"/>
        <v>5.3132059790417872</v>
      </c>
      <c r="D72" s="12">
        <f t="shared" si="3"/>
        <v>-0.41802183104253982</v>
      </c>
      <c r="E72" s="12">
        <f>'1_RawData'!C72</f>
        <v>1</v>
      </c>
    </row>
    <row r="73" spans="1:5">
      <c r="A73" s="4">
        <v>72</v>
      </c>
      <c r="B73" s="4">
        <v>229</v>
      </c>
      <c r="C73" s="12">
        <f t="shared" si="4"/>
        <v>5.43372200355424</v>
      </c>
      <c r="D73" s="12">
        <f t="shared" si="3"/>
        <v>-0.12737214146640555</v>
      </c>
      <c r="E73" s="12">
        <f>'1_RawData'!C73</f>
        <v>1</v>
      </c>
    </row>
    <row r="74" spans="1:5">
      <c r="A74" s="4">
        <v>73</v>
      </c>
      <c r="B74" s="4">
        <v>242</v>
      </c>
      <c r="C74" s="12">
        <f t="shared" si="4"/>
        <v>5.4889377261566867</v>
      </c>
      <c r="D74" s="12">
        <f t="shared" si="3"/>
        <v>5.7921634386639814E-3</v>
      </c>
      <c r="E74" s="12">
        <f>'1_RawData'!C74</f>
        <v>1</v>
      </c>
    </row>
    <row r="75" spans="1:5">
      <c r="A75" s="4">
        <v>74</v>
      </c>
      <c r="B75" s="4">
        <v>233</v>
      </c>
      <c r="C75" s="12">
        <f t="shared" si="4"/>
        <v>5.4510384535657002</v>
      </c>
      <c r="D75" s="12">
        <f t="shared" si="3"/>
        <v>-8.5609887519242714E-2</v>
      </c>
      <c r="E75" s="12">
        <f>'1_RawData'!C75</f>
        <v>1</v>
      </c>
    </row>
    <row r="76" spans="1:5">
      <c r="A76" s="4">
        <v>75</v>
      </c>
      <c r="B76" s="4">
        <v>267</v>
      </c>
      <c r="C76" s="12">
        <f t="shared" si="4"/>
        <v>5.5872486584002496</v>
      </c>
      <c r="D76" s="12">
        <f t="shared" si="3"/>
        <v>0.24288961213171645</v>
      </c>
      <c r="E76" s="12">
        <f>'1_RawData'!C76</f>
        <v>1</v>
      </c>
    </row>
    <row r="77" spans="1:5">
      <c r="A77" s="4">
        <v>76</v>
      </c>
      <c r="B77" s="4">
        <v>269</v>
      </c>
      <c r="C77" s="12">
        <f t="shared" si="4"/>
        <v>5.5947113796018391</v>
      </c>
      <c r="D77" s="12">
        <f t="shared" si="3"/>
        <v>0.26088753074386811</v>
      </c>
      <c r="E77" s="12">
        <f>'1_RawData'!C77</f>
        <v>1</v>
      </c>
    </row>
    <row r="78" spans="1:5">
      <c r="A78" s="4">
        <v>77</v>
      </c>
      <c r="B78" s="4">
        <v>270</v>
      </c>
      <c r="C78" s="12">
        <f t="shared" si="4"/>
        <v>5.598421958998375</v>
      </c>
      <c r="D78" s="12">
        <f t="shared" si="3"/>
        <v>0.26983637181387321</v>
      </c>
      <c r="E78" s="12">
        <f>'1_RawData'!C78</f>
        <v>1</v>
      </c>
    </row>
    <row r="79" spans="1:5">
      <c r="A79" s="4">
        <v>78</v>
      </c>
      <c r="B79" s="4">
        <v>315</v>
      </c>
      <c r="C79" s="12">
        <f t="shared" si="4"/>
        <v>5.7525726388256331</v>
      </c>
      <c r="D79" s="12">
        <f t="shared" si="3"/>
        <v>0.64160309263790005</v>
      </c>
      <c r="E79" s="12">
        <f>'1_RawData'!C79</f>
        <v>1</v>
      </c>
    </row>
    <row r="80" spans="1:5">
      <c r="A80" s="4">
        <v>79</v>
      </c>
      <c r="B80" s="4">
        <v>364</v>
      </c>
      <c r="C80" s="12">
        <f t="shared" si="4"/>
        <v>5.8971538676367405</v>
      </c>
      <c r="D80" s="12">
        <f t="shared" si="3"/>
        <v>0.99029107369673663</v>
      </c>
      <c r="E80" s="12">
        <f>'1_RawData'!C80</f>
        <v>1</v>
      </c>
    </row>
    <row r="81" spans="1:5">
      <c r="A81" s="4">
        <v>80</v>
      </c>
      <c r="B81" s="4">
        <v>347</v>
      </c>
      <c r="C81" s="12">
        <f t="shared" si="4"/>
        <v>5.8493247799468593</v>
      </c>
      <c r="D81" s="12">
        <f t="shared" si="3"/>
        <v>0.87494118934723042</v>
      </c>
      <c r="E81" s="12">
        <f>'1_RawData'!C81</f>
        <v>1</v>
      </c>
    </row>
    <row r="82" spans="1:5">
      <c r="A82" s="4">
        <v>81</v>
      </c>
      <c r="B82" s="4">
        <v>312</v>
      </c>
      <c r="C82" s="12">
        <f t="shared" si="4"/>
        <v>5.7430031878094825</v>
      </c>
      <c r="D82" s="12">
        <f t="shared" si="3"/>
        <v>0.61852435287270979</v>
      </c>
      <c r="E82" s="12">
        <f>'1_RawData'!C82</f>
        <v>1</v>
      </c>
    </row>
    <row r="83" spans="1:5">
      <c r="A83" s="4">
        <v>82</v>
      </c>
      <c r="B83" s="4">
        <v>274</v>
      </c>
      <c r="C83" s="12">
        <f t="shared" si="4"/>
        <v>5.6131281063880705</v>
      </c>
      <c r="D83" s="12">
        <f t="shared" si="3"/>
        <v>0.30530333308286356</v>
      </c>
      <c r="E83" s="12">
        <f>'1_RawData'!C83</f>
        <v>1</v>
      </c>
    </row>
    <row r="84" spans="1:5">
      <c r="A84" s="4">
        <v>83</v>
      </c>
      <c r="B84" s="4">
        <v>237</v>
      </c>
      <c r="C84" s="12">
        <f t="shared" si="4"/>
        <v>5.4680601411351315</v>
      </c>
      <c r="D84" s="12">
        <f t="shared" si="3"/>
        <v>-4.455851507203791E-2</v>
      </c>
      <c r="E84" s="12">
        <f>'1_RawData'!C84</f>
        <v>1</v>
      </c>
    </row>
    <row r="85" spans="1:5">
      <c r="A85" s="4">
        <v>84</v>
      </c>
      <c r="B85" s="4">
        <v>278</v>
      </c>
      <c r="C85" s="12">
        <f t="shared" si="4"/>
        <v>5.6276211136906369</v>
      </c>
      <c r="D85" s="12">
        <f t="shared" si="3"/>
        <v>0.3402562622933713</v>
      </c>
      <c r="E85" s="12">
        <f>'1_RawData'!C85</f>
        <v>1</v>
      </c>
    </row>
    <row r="86" spans="1:5">
      <c r="A86" s="4">
        <v>85</v>
      </c>
      <c r="B86" s="4">
        <v>284</v>
      </c>
      <c r="C86" s="12">
        <f t="shared" si="4"/>
        <v>5.6489742381612063</v>
      </c>
      <c r="D86" s="12">
        <f t="shared" si="3"/>
        <v>0.39175380400169618</v>
      </c>
      <c r="E86" s="12">
        <f>'1_RawData'!C86</f>
        <v>1</v>
      </c>
    </row>
    <row r="87" spans="1:5">
      <c r="A87" s="4">
        <v>86</v>
      </c>
      <c r="B87" s="4">
        <v>277</v>
      </c>
      <c r="C87" s="12">
        <f t="shared" si="4"/>
        <v>5.6240175061873385</v>
      </c>
      <c r="D87" s="12">
        <f t="shared" si="3"/>
        <v>0.33156540639744297</v>
      </c>
      <c r="E87" s="12">
        <f>'1_RawData'!C87</f>
        <v>1</v>
      </c>
    </row>
    <row r="88" spans="1:5">
      <c r="A88" s="4">
        <v>87</v>
      </c>
      <c r="B88" s="4">
        <v>317</v>
      </c>
      <c r="C88" s="12">
        <f t="shared" si="4"/>
        <v>5.7589017738772803</v>
      </c>
      <c r="D88" s="12">
        <f t="shared" si="3"/>
        <v>0.65686713030831467</v>
      </c>
      <c r="E88" s="12">
        <f>'1_RawData'!C88</f>
        <v>1</v>
      </c>
    </row>
    <row r="89" spans="1:5">
      <c r="A89" s="4">
        <v>88</v>
      </c>
      <c r="B89" s="4">
        <v>313</v>
      </c>
      <c r="C89" s="12">
        <f t="shared" si="4"/>
        <v>5.7462031905401529</v>
      </c>
      <c r="D89" s="12">
        <f t="shared" si="3"/>
        <v>0.62624183114229914</v>
      </c>
      <c r="E89" s="12">
        <f>'1_RawData'!C89</f>
        <v>1</v>
      </c>
    </row>
    <row r="90" spans="1:5">
      <c r="A90" s="4">
        <v>89</v>
      </c>
      <c r="B90" s="4">
        <v>318</v>
      </c>
      <c r="C90" s="12">
        <f t="shared" si="4"/>
        <v>5.7620513827801769</v>
      </c>
      <c r="D90" s="12">
        <f t="shared" si="3"/>
        <v>0.66446307328449994</v>
      </c>
      <c r="E90" s="12">
        <f>'1_RawData'!C90</f>
        <v>1</v>
      </c>
    </row>
    <row r="91" spans="1:5">
      <c r="A91" s="4">
        <v>90</v>
      </c>
      <c r="B91" s="4">
        <v>374</v>
      </c>
      <c r="C91" s="12">
        <f t="shared" si="4"/>
        <v>5.9242557974145322</v>
      </c>
      <c r="D91" s="12">
        <f t="shared" si="3"/>
        <v>1.055653066084856</v>
      </c>
      <c r="E91" s="12">
        <f>'1_RawData'!C91</f>
        <v>1</v>
      </c>
    </row>
    <row r="92" spans="1:5">
      <c r="A92" s="4">
        <v>91</v>
      </c>
      <c r="B92" s="4">
        <v>413</v>
      </c>
      <c r="C92" s="12">
        <f t="shared" si="4"/>
        <v>6.0234475929610332</v>
      </c>
      <c r="D92" s="12">
        <f t="shared" si="3"/>
        <v>1.2948749015272529</v>
      </c>
      <c r="E92" s="12">
        <f>'1_RawData'!C92</f>
        <v>1</v>
      </c>
    </row>
    <row r="93" spans="1:5">
      <c r="A93" s="4">
        <v>92</v>
      </c>
      <c r="B93" s="4">
        <v>405</v>
      </c>
      <c r="C93" s="12">
        <f t="shared" si="4"/>
        <v>6.0038870671065387</v>
      </c>
      <c r="D93" s="12">
        <f t="shared" si="3"/>
        <v>1.2477005876502856</v>
      </c>
      <c r="E93" s="12">
        <f>'1_RawData'!C93</f>
        <v>1</v>
      </c>
    </row>
    <row r="94" spans="1:5">
      <c r="A94" s="4">
        <v>93</v>
      </c>
      <c r="B94" s="4">
        <v>355</v>
      </c>
      <c r="C94" s="12">
        <f t="shared" si="4"/>
        <v>5.872117789475416</v>
      </c>
      <c r="D94" s="12">
        <f t="shared" si="3"/>
        <v>0.92991131610656719</v>
      </c>
      <c r="E94" s="12">
        <f>'1_RawData'!C94</f>
        <v>1</v>
      </c>
    </row>
    <row r="95" spans="1:5">
      <c r="A95" s="4">
        <v>94</v>
      </c>
      <c r="B95" s="4">
        <v>306</v>
      </c>
      <c r="C95" s="12">
        <f t="shared" si="4"/>
        <v>5.7235851019523807</v>
      </c>
      <c r="D95" s="12">
        <f t="shared" si="3"/>
        <v>0.57169356294778828</v>
      </c>
      <c r="E95" s="12">
        <f>'1_RawData'!C95</f>
        <v>1</v>
      </c>
    </row>
    <row r="96" spans="1:5">
      <c r="A96" s="4">
        <v>95</v>
      </c>
      <c r="B96" s="4">
        <v>271</v>
      </c>
      <c r="C96" s="12">
        <f t="shared" si="4"/>
        <v>5.602118820879701</v>
      </c>
      <c r="D96" s="12">
        <f t="shared" si="3"/>
        <v>0.27875213021662587</v>
      </c>
      <c r="E96" s="12">
        <f>'1_RawData'!C96</f>
        <v>1</v>
      </c>
    </row>
    <row r="97" spans="1:5">
      <c r="A97" s="4">
        <v>96</v>
      </c>
      <c r="B97" s="4">
        <v>306</v>
      </c>
      <c r="C97" s="12">
        <f t="shared" si="4"/>
        <v>5.7235851019523807</v>
      </c>
      <c r="D97" s="12">
        <f t="shared" si="3"/>
        <v>0.57169356294778828</v>
      </c>
      <c r="E97" s="12">
        <f>'1_RawData'!C97</f>
        <v>1</v>
      </c>
    </row>
    <row r="98" spans="1:5">
      <c r="A98" s="4">
        <v>97</v>
      </c>
      <c r="B98" s="4">
        <v>315</v>
      </c>
      <c r="C98" s="12">
        <f t="shared" si="4"/>
        <v>5.7525726388256331</v>
      </c>
      <c r="D98" s="12">
        <f t="shared" ref="D98:D129" si="5">(C98-$G$1)/$H$1</f>
        <v>0.64160309263790005</v>
      </c>
      <c r="E98" s="12">
        <f>'1_RawData'!C98</f>
        <v>1</v>
      </c>
    </row>
    <row r="99" spans="1:5">
      <c r="A99" s="4">
        <v>98</v>
      </c>
      <c r="B99" s="4">
        <v>301</v>
      </c>
      <c r="C99" s="12">
        <f t="shared" si="4"/>
        <v>5.7071102647488754</v>
      </c>
      <c r="D99" s="12">
        <f t="shared" si="5"/>
        <v>0.53196103494259028</v>
      </c>
      <c r="E99" s="12">
        <f>'1_RawData'!C99</f>
        <v>1</v>
      </c>
    </row>
    <row r="100" spans="1:5">
      <c r="A100" s="4">
        <v>99</v>
      </c>
      <c r="B100" s="4">
        <v>356</v>
      </c>
      <c r="C100" s="12">
        <f t="shared" si="4"/>
        <v>5.8749307308520304</v>
      </c>
      <c r="D100" s="12">
        <f t="shared" si="5"/>
        <v>0.93669531467618794</v>
      </c>
      <c r="E100" s="12">
        <f>'1_RawData'!C100</f>
        <v>1</v>
      </c>
    </row>
    <row r="101" spans="1:5">
      <c r="A101" s="4">
        <v>100</v>
      </c>
      <c r="B101" s="4">
        <v>348</v>
      </c>
      <c r="C101" s="12">
        <f t="shared" si="4"/>
        <v>5.8522024797744745</v>
      </c>
      <c r="D101" s="12">
        <f t="shared" si="5"/>
        <v>0.88188136651431936</v>
      </c>
      <c r="E101" s="12">
        <f>'1_RawData'!C101</f>
        <v>1</v>
      </c>
    </row>
    <row r="102" spans="1:5">
      <c r="A102" s="4">
        <v>101</v>
      </c>
      <c r="B102" s="4">
        <v>355</v>
      </c>
      <c r="C102" s="12">
        <f t="shared" si="4"/>
        <v>5.872117789475416</v>
      </c>
      <c r="D102" s="12">
        <f t="shared" si="5"/>
        <v>0.92991131610656719</v>
      </c>
      <c r="E102" s="12">
        <f>'1_RawData'!C102</f>
        <v>1</v>
      </c>
    </row>
    <row r="103" spans="1:5">
      <c r="A103" s="4">
        <v>102</v>
      </c>
      <c r="B103" s="4">
        <v>422</v>
      </c>
      <c r="C103" s="12">
        <f t="shared" si="4"/>
        <v>6.045005314036012</v>
      </c>
      <c r="D103" s="12">
        <f t="shared" si="5"/>
        <v>1.3468658708921948</v>
      </c>
      <c r="E103" s="12">
        <f>'1_RawData'!C103</f>
        <v>1</v>
      </c>
    </row>
    <row r="104" spans="1:5">
      <c r="A104" s="4">
        <v>103</v>
      </c>
      <c r="B104" s="4">
        <v>465</v>
      </c>
      <c r="C104" s="12">
        <f t="shared" si="4"/>
        <v>6.1420374055873559</v>
      </c>
      <c r="D104" s="12">
        <f t="shared" si="5"/>
        <v>1.5808791268256994</v>
      </c>
      <c r="E104" s="12">
        <f>'1_RawData'!C104</f>
        <v>1</v>
      </c>
    </row>
    <row r="105" spans="1:5">
      <c r="A105" s="4">
        <v>104</v>
      </c>
      <c r="B105" s="4">
        <v>467</v>
      </c>
      <c r="C105" s="12">
        <f t="shared" si="4"/>
        <v>6.1463292576688975</v>
      </c>
      <c r="D105" s="12">
        <f t="shared" si="5"/>
        <v>1.5912298289854596</v>
      </c>
      <c r="E105" s="12">
        <f>'1_RawData'!C105</f>
        <v>1</v>
      </c>
    </row>
    <row r="106" spans="1:5">
      <c r="A106" s="4">
        <v>105</v>
      </c>
      <c r="B106" s="4">
        <v>404</v>
      </c>
      <c r="C106" s="12">
        <f t="shared" si="4"/>
        <v>6.0014148779611505</v>
      </c>
      <c r="D106" s="12">
        <f t="shared" si="5"/>
        <v>1.2417383846105865</v>
      </c>
      <c r="E106" s="12">
        <f>'1_RawData'!C106</f>
        <v>1</v>
      </c>
    </row>
    <row r="107" spans="1:5">
      <c r="A107" s="4">
        <v>106</v>
      </c>
      <c r="B107" s="4">
        <v>347</v>
      </c>
      <c r="C107" s="12">
        <f t="shared" si="4"/>
        <v>5.8493247799468593</v>
      </c>
      <c r="D107" s="12">
        <f t="shared" si="5"/>
        <v>0.87494118934723042</v>
      </c>
      <c r="E107" s="12">
        <f>'1_RawData'!C107</f>
        <v>1</v>
      </c>
    </row>
    <row r="108" spans="1:5">
      <c r="A108" s="4">
        <v>107</v>
      </c>
      <c r="B108" s="4">
        <v>305</v>
      </c>
      <c r="C108" s="12">
        <f t="shared" si="4"/>
        <v>5.7203117766074119</v>
      </c>
      <c r="D108" s="12">
        <f t="shared" si="5"/>
        <v>0.56379925180330992</v>
      </c>
      <c r="E108" s="12">
        <f>'1_RawData'!C108</f>
        <v>1</v>
      </c>
    </row>
    <row r="109" spans="1:5">
      <c r="A109" s="4">
        <v>108</v>
      </c>
      <c r="B109" s="4">
        <v>336</v>
      </c>
      <c r="C109" s="12">
        <f t="shared" si="4"/>
        <v>5.8171111599632042</v>
      </c>
      <c r="D109" s="12">
        <f t="shared" si="5"/>
        <v>0.79725128307750059</v>
      </c>
      <c r="E109" s="12">
        <f>'1_RawData'!C109</f>
        <v>1</v>
      </c>
    </row>
    <row r="110" spans="1:5">
      <c r="A110" s="4">
        <v>109</v>
      </c>
      <c r="B110" s="4">
        <v>340</v>
      </c>
      <c r="C110" s="12">
        <f t="shared" si="4"/>
        <v>5.8289456176102075</v>
      </c>
      <c r="D110" s="12">
        <f t="shared" si="5"/>
        <v>0.82579256176071836</v>
      </c>
      <c r="E110" s="12">
        <f>'1_RawData'!C110</f>
        <v>1</v>
      </c>
    </row>
    <row r="111" spans="1:5">
      <c r="A111" s="4">
        <v>110</v>
      </c>
      <c r="B111" s="4">
        <v>318</v>
      </c>
      <c r="C111" s="12">
        <f t="shared" si="4"/>
        <v>5.7620513827801769</v>
      </c>
      <c r="D111" s="12">
        <f t="shared" si="5"/>
        <v>0.66446307328449994</v>
      </c>
      <c r="E111" s="12">
        <f>'1_RawData'!C111</f>
        <v>1</v>
      </c>
    </row>
    <row r="112" spans="1:5">
      <c r="A112" s="4">
        <v>111</v>
      </c>
      <c r="B112" s="4">
        <v>362</v>
      </c>
      <c r="C112" s="12">
        <f t="shared" si="4"/>
        <v>5.8916442118257715</v>
      </c>
      <c r="D112" s="12">
        <f t="shared" si="5"/>
        <v>0.97700338222493543</v>
      </c>
      <c r="E112" s="12">
        <f>'1_RawData'!C112</f>
        <v>1</v>
      </c>
    </row>
    <row r="113" spans="1:5">
      <c r="A113" s="4">
        <v>112</v>
      </c>
      <c r="B113" s="4">
        <v>348</v>
      </c>
      <c r="C113" s="12">
        <f t="shared" si="4"/>
        <v>5.8522024797744745</v>
      </c>
      <c r="D113" s="12">
        <f t="shared" si="5"/>
        <v>0.88188136651431936</v>
      </c>
      <c r="E113" s="12">
        <f>'1_RawData'!C113</f>
        <v>1</v>
      </c>
    </row>
    <row r="114" spans="1:5">
      <c r="A114" s="4">
        <v>113</v>
      </c>
      <c r="B114" s="4">
        <v>363</v>
      </c>
      <c r="C114" s="12">
        <f t="shared" si="4"/>
        <v>5.8944028342648505</v>
      </c>
      <c r="D114" s="12">
        <f t="shared" si="5"/>
        <v>0.98365637927507643</v>
      </c>
      <c r="E114" s="12">
        <f>'1_RawData'!C114</f>
        <v>1</v>
      </c>
    </row>
    <row r="115" spans="1:5">
      <c r="A115" s="4">
        <v>114</v>
      </c>
      <c r="B115" s="4">
        <v>435</v>
      </c>
      <c r="C115" s="12">
        <f t="shared" si="4"/>
        <v>6.0753460310886842</v>
      </c>
      <c r="D115" s="12">
        <f t="shared" si="5"/>
        <v>1.4200388786191902</v>
      </c>
      <c r="E115" s="12">
        <f>'1_RawData'!C115</f>
        <v>1</v>
      </c>
    </row>
    <row r="116" spans="1:5">
      <c r="A116" s="4">
        <v>115</v>
      </c>
      <c r="B116" s="4">
        <v>491</v>
      </c>
      <c r="C116" s="12">
        <f t="shared" si="4"/>
        <v>6.1964441277945204</v>
      </c>
      <c r="D116" s="12">
        <f t="shared" si="5"/>
        <v>1.7120923574673503</v>
      </c>
      <c r="E116" s="12">
        <f>'1_RawData'!C116</f>
        <v>1</v>
      </c>
    </row>
    <row r="117" spans="1:5">
      <c r="A117" s="4">
        <v>116</v>
      </c>
      <c r="B117" s="4">
        <v>505</v>
      </c>
      <c r="C117" s="12">
        <f t="shared" si="4"/>
        <v>6.2245584292753602</v>
      </c>
      <c r="D117" s="12">
        <f t="shared" si="5"/>
        <v>1.7798958967154574</v>
      </c>
      <c r="E117" s="12">
        <f>'1_RawData'!C117</f>
        <v>1</v>
      </c>
    </row>
    <row r="118" spans="1:5">
      <c r="A118" s="4">
        <v>117</v>
      </c>
      <c r="B118" s="4">
        <v>404</v>
      </c>
      <c r="C118" s="12">
        <f t="shared" si="4"/>
        <v>6.0014148779611505</v>
      </c>
      <c r="D118" s="12">
        <f t="shared" si="5"/>
        <v>1.2417383846105865</v>
      </c>
      <c r="E118" s="12">
        <f>'1_RawData'!C118</f>
        <v>1</v>
      </c>
    </row>
    <row r="119" spans="1:5">
      <c r="A119" s="4">
        <v>118</v>
      </c>
      <c r="B119" s="4">
        <v>359</v>
      </c>
      <c r="C119" s="12">
        <f t="shared" si="4"/>
        <v>5.8833223884882786</v>
      </c>
      <c r="D119" s="12">
        <f t="shared" si="5"/>
        <v>0.95693355848543915</v>
      </c>
      <c r="E119" s="12">
        <f>'1_RawData'!C119</f>
        <v>1</v>
      </c>
    </row>
    <row r="120" spans="1:5">
      <c r="A120" s="4">
        <v>119</v>
      </c>
      <c r="B120" s="4">
        <v>310</v>
      </c>
      <c r="C120" s="12">
        <f t="shared" si="4"/>
        <v>5.7365722974791922</v>
      </c>
      <c r="D120" s="12">
        <f t="shared" si="5"/>
        <v>0.60301491098928695</v>
      </c>
      <c r="E120" s="12">
        <f>'1_RawData'!C120</f>
        <v>1</v>
      </c>
    </row>
    <row r="121" spans="1:5">
      <c r="A121" s="4">
        <v>120</v>
      </c>
      <c r="B121" s="4">
        <v>337</v>
      </c>
      <c r="C121" s="12">
        <f t="shared" si="4"/>
        <v>5.8200829303523616</v>
      </c>
      <c r="D121" s="12">
        <f t="shared" si="5"/>
        <v>0.80441833114927708</v>
      </c>
      <c r="E121" s="12">
        <f>'1_RawData'!C121</f>
        <v>1</v>
      </c>
    </row>
    <row r="122" spans="1:5">
      <c r="A122" s="4">
        <v>121</v>
      </c>
      <c r="B122" s="4">
        <v>360</v>
      </c>
      <c r="C122" s="12">
        <f t="shared" si="4"/>
        <v>5.8861040314501558</v>
      </c>
      <c r="D122" s="12">
        <f t="shared" si="5"/>
        <v>0.9636420743583447</v>
      </c>
      <c r="E122" s="12">
        <f>'1_RawData'!C122</f>
        <v>1</v>
      </c>
    </row>
    <row r="123" spans="1:5">
      <c r="A123" s="4">
        <v>122</v>
      </c>
      <c r="B123" s="4">
        <v>342</v>
      </c>
      <c r="C123" s="12">
        <f t="shared" si="4"/>
        <v>5.8348107370626048</v>
      </c>
      <c r="D123" s="12">
        <f t="shared" si="5"/>
        <v>0.83993752841608693</v>
      </c>
      <c r="E123" s="12">
        <f>'1_RawData'!C123</f>
        <v>1</v>
      </c>
    </row>
    <row r="124" spans="1:5">
      <c r="A124" s="4">
        <v>123</v>
      </c>
      <c r="B124" s="4">
        <v>406</v>
      </c>
      <c r="C124" s="12">
        <f t="shared" si="4"/>
        <v>6.0063531596017325</v>
      </c>
      <c r="D124" s="12">
        <f t="shared" si="5"/>
        <v>1.2536480873383462</v>
      </c>
      <c r="E124" s="12">
        <f>'1_RawData'!C124</f>
        <v>1</v>
      </c>
    </row>
    <row r="125" spans="1:5">
      <c r="A125" s="4">
        <v>124</v>
      </c>
      <c r="B125" s="4">
        <v>396</v>
      </c>
      <c r="C125" s="12">
        <f t="shared" si="4"/>
        <v>5.9814142112544806</v>
      </c>
      <c r="D125" s="12">
        <f t="shared" si="5"/>
        <v>1.1935025786824822</v>
      </c>
      <c r="E125" s="12">
        <f>'1_RawData'!C125</f>
        <v>1</v>
      </c>
    </row>
    <row r="126" spans="1:5">
      <c r="A126" s="4">
        <v>125</v>
      </c>
      <c r="B126" s="4">
        <v>420</v>
      </c>
      <c r="C126" s="12">
        <f t="shared" si="4"/>
        <v>6.0402547112774139</v>
      </c>
      <c r="D126" s="12">
        <f t="shared" si="5"/>
        <v>1.3354087951823714</v>
      </c>
      <c r="E126" s="12">
        <f>'1_RawData'!C126</f>
        <v>1</v>
      </c>
    </row>
    <row r="127" spans="1:5">
      <c r="A127" s="4">
        <v>126</v>
      </c>
      <c r="B127" s="4">
        <v>472</v>
      </c>
      <c r="C127" s="12">
        <f t="shared" si="4"/>
        <v>6.156978985585555</v>
      </c>
      <c r="D127" s="12">
        <f t="shared" si="5"/>
        <v>1.6169138832476955</v>
      </c>
      <c r="E127" s="12">
        <f>'1_RawData'!C127</f>
        <v>1</v>
      </c>
    </row>
    <row r="128" spans="1:5">
      <c r="A128" s="4">
        <v>127</v>
      </c>
      <c r="B128" s="4">
        <v>548</v>
      </c>
      <c r="C128" s="12">
        <f t="shared" si="4"/>
        <v>6.3062752869480159</v>
      </c>
      <c r="D128" s="12">
        <f t="shared" si="5"/>
        <v>1.9769732514637497</v>
      </c>
      <c r="E128" s="12">
        <f>'1_RawData'!C128</f>
        <v>1</v>
      </c>
    </row>
    <row r="129" spans="1:5">
      <c r="A129" s="4">
        <v>128</v>
      </c>
      <c r="B129" s="4">
        <v>559</v>
      </c>
      <c r="C129" s="12">
        <f t="shared" si="4"/>
        <v>6.3261494731550991</v>
      </c>
      <c r="D129" s="12">
        <f t="shared" si="5"/>
        <v>2.0249040231186854</v>
      </c>
      <c r="E129" s="12">
        <f>'1_RawData'!C129</f>
        <v>1</v>
      </c>
    </row>
    <row r="130" spans="1:5">
      <c r="A130" s="4">
        <v>129</v>
      </c>
      <c r="B130" s="4">
        <v>463</v>
      </c>
      <c r="C130" s="12">
        <f t="shared" si="4"/>
        <v>6.1377270540862341</v>
      </c>
      <c r="D130" s="12">
        <f t="shared" ref="D130:D145" si="6">(C130-$G$1)/$H$1</f>
        <v>1.5704838094325702</v>
      </c>
      <c r="E130" s="12">
        <f>'1_RawData'!C130</f>
        <v>1</v>
      </c>
    </row>
    <row r="131" spans="1:5">
      <c r="A131" s="4">
        <v>130</v>
      </c>
      <c r="B131" s="4">
        <v>407</v>
      </c>
      <c r="C131" s="12">
        <f t="shared" ref="C131:C145" si="7">LN(B131)</f>
        <v>6.0088131854425946</v>
      </c>
      <c r="D131" s="12">
        <f t="shared" si="6"/>
        <v>1.2595809560160873</v>
      </c>
      <c r="E131" s="12">
        <f>'1_RawData'!C131</f>
        <v>1</v>
      </c>
    </row>
    <row r="132" spans="1:5">
      <c r="A132" s="4">
        <v>131</v>
      </c>
      <c r="B132" s="4">
        <v>362</v>
      </c>
      <c r="C132" s="12">
        <f t="shared" si="7"/>
        <v>5.8916442118257715</v>
      </c>
      <c r="D132" s="12">
        <f t="shared" si="6"/>
        <v>0.97700338222493543</v>
      </c>
      <c r="E132" s="12">
        <f>'1_RawData'!C132</f>
        <v>1</v>
      </c>
    </row>
    <row r="133" spans="1:5">
      <c r="A133" s="4">
        <v>132</v>
      </c>
      <c r="B133" s="4">
        <v>405</v>
      </c>
      <c r="C133" s="12">
        <f t="shared" si="7"/>
        <v>6.0038870671065387</v>
      </c>
      <c r="D133" s="12">
        <f t="shared" si="6"/>
        <v>1.2477005876502856</v>
      </c>
      <c r="E133" s="12">
        <f>'1_RawData'!C133</f>
        <v>1</v>
      </c>
    </row>
    <row r="134" spans="1:5">
      <c r="A134" s="4">
        <v>133</v>
      </c>
      <c r="B134" s="4">
        <v>417</v>
      </c>
      <c r="C134" s="12">
        <f t="shared" si="7"/>
        <v>6.0330862217988015</v>
      </c>
      <c r="D134" s="12">
        <f t="shared" si="6"/>
        <v>1.3181204781297859</v>
      </c>
      <c r="E134" s="12">
        <f>'1_RawData'!C134</f>
        <v>0</v>
      </c>
    </row>
    <row r="135" spans="1:5">
      <c r="A135" s="4">
        <v>134</v>
      </c>
      <c r="B135" s="4">
        <v>391</v>
      </c>
      <c r="C135" s="12">
        <f t="shared" si="7"/>
        <v>5.9687075599853658</v>
      </c>
      <c r="D135" s="12">
        <f t="shared" si="6"/>
        <v>1.1628578220050101</v>
      </c>
      <c r="E135" s="12">
        <f>'1_RawData'!C135</f>
        <v>0</v>
      </c>
    </row>
    <row r="136" spans="1:5">
      <c r="A136" s="4">
        <v>135</v>
      </c>
      <c r="B136" s="4">
        <v>419</v>
      </c>
      <c r="C136" s="12">
        <f t="shared" si="7"/>
        <v>6.0378709199221374</v>
      </c>
      <c r="D136" s="12">
        <f t="shared" si="6"/>
        <v>1.329659781968334</v>
      </c>
      <c r="E136" s="12">
        <f>'1_RawData'!C136</f>
        <v>0</v>
      </c>
    </row>
    <row r="137" spans="1:5">
      <c r="A137" s="4">
        <v>136</v>
      </c>
      <c r="B137" s="4">
        <v>461</v>
      </c>
      <c r="C137" s="12">
        <f t="shared" si="7"/>
        <v>6.1333980429966486</v>
      </c>
      <c r="D137" s="12">
        <f t="shared" si="6"/>
        <v>1.5600434905251899</v>
      </c>
      <c r="E137" s="12">
        <f>'1_RawData'!C137</f>
        <v>0</v>
      </c>
    </row>
    <row r="138" spans="1:5">
      <c r="A138" s="4">
        <v>137</v>
      </c>
      <c r="B138" s="4">
        <v>472</v>
      </c>
      <c r="C138" s="12">
        <f t="shared" si="7"/>
        <v>6.156978985585555</v>
      </c>
      <c r="D138" s="12">
        <f t="shared" si="6"/>
        <v>1.6169138832476955</v>
      </c>
      <c r="E138" s="12">
        <f>'1_RawData'!C138</f>
        <v>0</v>
      </c>
    </row>
    <row r="139" spans="1:5">
      <c r="A139" s="4">
        <v>138</v>
      </c>
      <c r="B139" s="4">
        <v>535</v>
      </c>
      <c r="C139" s="12">
        <f t="shared" si="7"/>
        <v>6.2822667468960063</v>
      </c>
      <c r="D139" s="12">
        <f t="shared" si="6"/>
        <v>1.9190716177057281</v>
      </c>
      <c r="E139" s="12">
        <f>'1_RawData'!C139</f>
        <v>0</v>
      </c>
    </row>
    <row r="140" spans="1:5">
      <c r="A140" s="4">
        <v>139</v>
      </c>
      <c r="B140" s="4">
        <v>622</v>
      </c>
      <c r="C140" s="12">
        <f t="shared" si="7"/>
        <v>6.4329400927391793</v>
      </c>
      <c r="D140" s="12">
        <f t="shared" si="6"/>
        <v>2.2824520177303795</v>
      </c>
      <c r="E140" s="12">
        <f>'1_RawData'!C140</f>
        <v>0</v>
      </c>
    </row>
    <row r="141" spans="1:5">
      <c r="A141" s="4">
        <v>140</v>
      </c>
      <c r="B141" s="4">
        <v>606</v>
      </c>
      <c r="C141" s="12">
        <f t="shared" si="7"/>
        <v>6.4068799860693142</v>
      </c>
      <c r="D141" s="12">
        <f t="shared" si="6"/>
        <v>2.2196026004469989</v>
      </c>
      <c r="E141" s="12">
        <f>'1_RawData'!C141</f>
        <v>0</v>
      </c>
    </row>
    <row r="142" spans="1:5">
      <c r="A142" s="4">
        <v>141</v>
      </c>
      <c r="B142" s="4">
        <v>508</v>
      </c>
      <c r="C142" s="12">
        <f t="shared" si="7"/>
        <v>6.230481447578482</v>
      </c>
      <c r="D142" s="12">
        <f t="shared" si="6"/>
        <v>1.7941804986023895</v>
      </c>
      <c r="E142" s="12">
        <f>'1_RawData'!C142</f>
        <v>0</v>
      </c>
    </row>
    <row r="143" spans="1:5">
      <c r="A143" s="4">
        <v>142</v>
      </c>
      <c r="B143" s="4">
        <v>461</v>
      </c>
      <c r="C143" s="12">
        <f t="shared" si="7"/>
        <v>6.1333980429966486</v>
      </c>
      <c r="D143" s="12">
        <f t="shared" si="6"/>
        <v>1.5600434905251899</v>
      </c>
      <c r="E143" s="12">
        <f>'1_RawData'!C143</f>
        <v>0</v>
      </c>
    </row>
    <row r="144" spans="1:5">
      <c r="A144" s="4">
        <v>143</v>
      </c>
      <c r="B144" s="4">
        <v>390</v>
      </c>
      <c r="C144" s="12">
        <f t="shared" si="7"/>
        <v>5.9661467391236922</v>
      </c>
      <c r="D144" s="12">
        <f t="shared" si="6"/>
        <v>1.1566818649775807</v>
      </c>
      <c r="E144" s="12">
        <f>'1_RawData'!C144</f>
        <v>0</v>
      </c>
    </row>
    <row r="145" spans="1:5">
      <c r="A145" s="4">
        <v>144</v>
      </c>
      <c r="B145" s="4">
        <v>432</v>
      </c>
      <c r="C145" s="12">
        <f t="shared" si="7"/>
        <v>6.0684255882441107</v>
      </c>
      <c r="D145" s="12">
        <f t="shared" si="6"/>
        <v>1.4033487780898883</v>
      </c>
      <c r="E145" s="12">
        <f>'1_RawData'!C145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184C-4803-4790-8254-0A7E0B4BBB9F}">
  <dimension ref="A1:R1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" sqref="E3"/>
    </sheetView>
  </sheetViews>
  <sheetFormatPr defaultRowHeight="15"/>
  <cols>
    <col min="1" max="1" width="11.7109375" style="4" bestFit="1" customWidth="1"/>
    <col min="2" max="2" width="9.42578125" style="4" bestFit="1" customWidth="1"/>
    <col min="3" max="4" width="9.42578125" style="4" customWidth="1"/>
    <col min="5" max="16" width="8.140625" style="4" bestFit="1" customWidth="1"/>
    <col min="17" max="17" width="7.42578125" style="4" bestFit="1" customWidth="1"/>
    <col min="18" max="18" width="11.28515625" style="4" bestFit="1" customWidth="1"/>
    <col min="19" max="16384" width="9.140625" style="4"/>
  </cols>
  <sheetData>
    <row r="1" spans="1:18">
      <c r="A1" s="2" t="s">
        <v>152</v>
      </c>
      <c r="B1" s="2" t="s">
        <v>153</v>
      </c>
      <c r="C1" s="2" t="s">
        <v>0</v>
      </c>
      <c r="D1" s="2" t="s">
        <v>174</v>
      </c>
      <c r="E1" s="2" t="s">
        <v>154</v>
      </c>
      <c r="F1" s="2" t="s">
        <v>155</v>
      </c>
      <c r="G1" s="2" t="s">
        <v>156</v>
      </c>
      <c r="H1" s="2" t="s">
        <v>157</v>
      </c>
      <c r="I1" s="2" t="s">
        <v>158</v>
      </c>
      <c r="J1" s="2" t="s">
        <v>159</v>
      </c>
      <c r="K1" s="2" t="s">
        <v>160</v>
      </c>
      <c r="L1" s="2" t="s">
        <v>161</v>
      </c>
      <c r="M1" s="2" t="s">
        <v>162</v>
      </c>
      <c r="N1" s="2" t="s">
        <v>163</v>
      </c>
      <c r="O1" s="2" t="s">
        <v>164</v>
      </c>
      <c r="P1" s="2" t="s">
        <v>165</v>
      </c>
      <c r="Q1" s="2" t="s">
        <v>166</v>
      </c>
      <c r="R1" s="6" t="s">
        <v>168</v>
      </c>
    </row>
    <row r="2" spans="1:18">
      <c r="A2" s="7">
        <v>1</v>
      </c>
      <c r="B2" s="7">
        <v>12</v>
      </c>
      <c r="C2" s="7" t="str">
        <f>'1_RawData'!A2</f>
        <v>1949-01</v>
      </c>
      <c r="D2" s="7" t="str">
        <f>'1_RawData'!A13</f>
        <v>1949-12</v>
      </c>
      <c r="E2" s="8">
        <f>'2_Preprocessed'!$D2</f>
        <v>-1.8522828511398</v>
      </c>
      <c r="F2" s="8">
        <f>'2_Preprocessed'!$D3</f>
        <v>-1.7264259535140745</v>
      </c>
      <c r="G2" s="8">
        <f>'2_Preprocessed'!$D4</f>
        <v>-1.4560315555348182</v>
      </c>
      <c r="H2" s="8">
        <f>'2_Preprocessed'!$D5</f>
        <v>-1.5114756042623225</v>
      </c>
      <c r="I2" s="8">
        <f>'2_Preprocessed'!$D6</f>
        <v>-1.6658777549422221</v>
      </c>
      <c r="J2" s="8">
        <f>'2_Preprocessed'!$D7</f>
        <v>-1.4018335465670129</v>
      </c>
      <c r="K2" s="8">
        <f>'2_Preprocessed'!$D8</f>
        <v>-1.1801069787938072</v>
      </c>
      <c r="L2" s="8">
        <f>'2_Preprocessed'!$D9</f>
        <v>-1.1801069787938072</v>
      </c>
      <c r="M2" s="8">
        <f>'2_Preprocessed'!$D10</f>
        <v>-1.3840348687250386</v>
      </c>
      <c r="N2" s="8">
        <f>'2_Preprocessed'!$D11</f>
        <v>-1.7060738504454833</v>
      </c>
      <c r="O2" s="8">
        <f>'2_Preprocessed'!$D12</f>
        <v>-2.0310097813445909</v>
      </c>
      <c r="P2" s="8">
        <f>'2_Preprocessed'!$D13</f>
        <v>-1.7264259535140745</v>
      </c>
      <c r="Q2" s="8">
        <f>'2_Preprocessed'!$D14</f>
        <v>-1.7885335033462055</v>
      </c>
      <c r="R2" s="9">
        <f>SQRT(SUMSQ(E2:P2))</f>
        <v>5.502132630351575</v>
      </c>
    </row>
    <row r="3" spans="1:18">
      <c r="A3" s="7">
        <f>A2+1</f>
        <v>2</v>
      </c>
      <c r="B3" s="7">
        <f>B2+1</f>
        <v>13</v>
      </c>
      <c r="C3" s="7" t="str">
        <f>'1_RawData'!A3</f>
        <v>1949-02</v>
      </c>
      <c r="D3" s="7" t="str">
        <f>'1_RawData'!A14</f>
        <v>1950-01</v>
      </c>
      <c r="E3" s="8">
        <f>'2_Preprocessed'!$D3</f>
        <v>-1.7264259535140745</v>
      </c>
      <c r="F3" s="8">
        <f>'2_Preprocessed'!$D4</f>
        <v>-1.4560315555348182</v>
      </c>
      <c r="G3" s="8">
        <f>'2_Preprocessed'!$D5</f>
        <v>-1.5114756042623225</v>
      </c>
      <c r="H3" s="8">
        <f>'2_Preprocessed'!$D6</f>
        <v>-1.6658777549422221</v>
      </c>
      <c r="I3" s="8">
        <f>'2_Preprocessed'!$D7</f>
        <v>-1.4018335465670129</v>
      </c>
      <c r="J3" s="8">
        <f>'2_Preprocessed'!$D8</f>
        <v>-1.1801069787938072</v>
      </c>
      <c r="K3" s="8">
        <f>'2_Preprocessed'!$D9</f>
        <v>-1.1801069787938072</v>
      </c>
      <c r="L3" s="8">
        <f>'2_Preprocessed'!$D10</f>
        <v>-1.3840348687250386</v>
      </c>
      <c r="M3" s="8">
        <f>'2_Preprocessed'!$D11</f>
        <v>-1.7060738504454833</v>
      </c>
      <c r="N3" s="8">
        <f>'2_Preprocessed'!$D12</f>
        <v>-2.0310097813445909</v>
      </c>
      <c r="O3" s="8">
        <f>'2_Preprocessed'!$D13</f>
        <v>-1.7264259535140745</v>
      </c>
      <c r="P3" s="8">
        <f>'2_Preprocessed'!$D14</f>
        <v>-1.7885335033462055</v>
      </c>
      <c r="Q3" s="8">
        <f>'2_Preprocessed'!$D15</f>
        <v>-1.5682243378478569</v>
      </c>
      <c r="R3" s="9">
        <f t="shared" ref="R3:R66" si="0">SQRT(SUMSQ(E3:P3))</f>
        <v>5.4810002566999403</v>
      </c>
    </row>
    <row r="4" spans="1:18">
      <c r="A4" s="7">
        <f t="shared" ref="A4:A67" si="1">A3+1</f>
        <v>3</v>
      </c>
      <c r="B4" s="7">
        <f t="shared" ref="B4:B67" si="2">B3+1</f>
        <v>14</v>
      </c>
      <c r="C4" s="7" t="str">
        <f>'1_RawData'!A4</f>
        <v>1949-03</v>
      </c>
      <c r="D4" s="7" t="str">
        <f>'1_RawData'!A15</f>
        <v>1950-02</v>
      </c>
      <c r="E4" s="8">
        <f>'2_Preprocessed'!$D4</f>
        <v>-1.4560315555348182</v>
      </c>
      <c r="F4" s="8">
        <f>'2_Preprocessed'!$D5</f>
        <v>-1.5114756042623225</v>
      </c>
      <c r="G4" s="8">
        <f>'2_Preprocessed'!$D6</f>
        <v>-1.6658777549422221</v>
      </c>
      <c r="H4" s="8">
        <f>'2_Preprocessed'!$D7</f>
        <v>-1.4018335465670129</v>
      </c>
      <c r="I4" s="8">
        <f>'2_Preprocessed'!$D8</f>
        <v>-1.1801069787938072</v>
      </c>
      <c r="J4" s="8">
        <f>'2_Preprocessed'!$D9</f>
        <v>-1.1801069787938072</v>
      </c>
      <c r="K4" s="8">
        <f>'2_Preprocessed'!$D10</f>
        <v>-1.3840348687250386</v>
      </c>
      <c r="L4" s="8">
        <f>'2_Preprocessed'!$D11</f>
        <v>-1.7060738504454833</v>
      </c>
      <c r="M4" s="8">
        <f>'2_Preprocessed'!$D12</f>
        <v>-2.0310097813445909</v>
      </c>
      <c r="N4" s="8">
        <f>'2_Preprocessed'!$D13</f>
        <v>-1.7264259535140745</v>
      </c>
      <c r="O4" s="8">
        <f>'2_Preprocessed'!$D14</f>
        <v>-1.7885335033462055</v>
      </c>
      <c r="P4" s="8">
        <f>'2_Preprocessed'!$D15</f>
        <v>-1.5682243378478569</v>
      </c>
      <c r="Q4" s="8">
        <f>'2_Preprocessed'!$D16</f>
        <v>-1.296960071544921</v>
      </c>
      <c r="R4" s="9">
        <f t="shared" si="0"/>
        <v>5.4332444096318895</v>
      </c>
    </row>
    <row r="5" spans="1:18">
      <c r="A5" s="7">
        <f t="shared" si="1"/>
        <v>4</v>
      </c>
      <c r="B5" s="7">
        <f t="shared" si="2"/>
        <v>15</v>
      </c>
      <c r="C5" s="7" t="str">
        <f>'1_RawData'!A5</f>
        <v>1949-04</v>
      </c>
      <c r="D5" s="7" t="str">
        <f>'1_RawData'!A16</f>
        <v>1950-03</v>
      </c>
      <c r="E5" s="8">
        <f>'2_Preprocessed'!$D5</f>
        <v>-1.5114756042623225</v>
      </c>
      <c r="F5" s="8">
        <f>'2_Preprocessed'!$D6</f>
        <v>-1.6658777549422221</v>
      </c>
      <c r="G5" s="8">
        <f>'2_Preprocessed'!$D7</f>
        <v>-1.4018335465670129</v>
      </c>
      <c r="H5" s="8">
        <f>'2_Preprocessed'!$D8</f>
        <v>-1.1801069787938072</v>
      </c>
      <c r="I5" s="8">
        <f>'2_Preprocessed'!$D9</f>
        <v>-1.1801069787938072</v>
      </c>
      <c r="J5" s="8">
        <f>'2_Preprocessed'!$D10</f>
        <v>-1.3840348687250386</v>
      </c>
      <c r="K5" s="8">
        <f>'2_Preprocessed'!$D11</f>
        <v>-1.7060738504454833</v>
      </c>
      <c r="L5" s="8">
        <f>'2_Preprocessed'!$D12</f>
        <v>-2.0310097813445909</v>
      </c>
      <c r="M5" s="8">
        <f>'2_Preprocessed'!$D13</f>
        <v>-1.7264259535140745</v>
      </c>
      <c r="N5" s="8">
        <f>'2_Preprocessed'!$D14</f>
        <v>-1.7885335033462055</v>
      </c>
      <c r="O5" s="8">
        <f>'2_Preprocessed'!$D15</f>
        <v>-1.5682243378478569</v>
      </c>
      <c r="P5" s="8">
        <f>'2_Preprocessed'!$D16</f>
        <v>-1.296960071544921</v>
      </c>
      <c r="Q5" s="8">
        <f>'2_Preprocessed'!$D17</f>
        <v>-1.4018335465670129</v>
      </c>
      <c r="R5" s="9">
        <f t="shared" si="0"/>
        <v>5.3927935572636976</v>
      </c>
    </row>
    <row r="6" spans="1:18">
      <c r="A6" s="7">
        <f t="shared" si="1"/>
        <v>5</v>
      </c>
      <c r="B6" s="7">
        <f t="shared" si="2"/>
        <v>16</v>
      </c>
      <c r="C6" s="7" t="str">
        <f>'1_RawData'!A6</f>
        <v>1949-05</v>
      </c>
      <c r="D6" s="7" t="str">
        <f>'1_RawData'!A17</f>
        <v>1950-04</v>
      </c>
      <c r="E6" s="8">
        <f>'2_Preprocessed'!$D6</f>
        <v>-1.6658777549422221</v>
      </c>
      <c r="F6" s="8">
        <f>'2_Preprocessed'!$D7</f>
        <v>-1.4018335465670129</v>
      </c>
      <c r="G6" s="8">
        <f>'2_Preprocessed'!$D8</f>
        <v>-1.1801069787938072</v>
      </c>
      <c r="H6" s="8">
        <f>'2_Preprocessed'!$D9</f>
        <v>-1.1801069787938072</v>
      </c>
      <c r="I6" s="8">
        <f>'2_Preprocessed'!$D10</f>
        <v>-1.3840348687250386</v>
      </c>
      <c r="J6" s="8">
        <f>'2_Preprocessed'!$D11</f>
        <v>-1.7060738504454833</v>
      </c>
      <c r="K6" s="8">
        <f>'2_Preprocessed'!$D12</f>
        <v>-2.0310097813445909</v>
      </c>
      <c r="L6" s="8">
        <f>'2_Preprocessed'!$D13</f>
        <v>-1.7264259535140745</v>
      </c>
      <c r="M6" s="8">
        <f>'2_Preprocessed'!$D14</f>
        <v>-1.7885335033462055</v>
      </c>
      <c r="N6" s="8">
        <f>'2_Preprocessed'!$D15</f>
        <v>-1.5682243378478569</v>
      </c>
      <c r="O6" s="8">
        <f>'2_Preprocessed'!$D16</f>
        <v>-1.296960071544921</v>
      </c>
      <c r="P6" s="8">
        <f>'2_Preprocessed'!$D17</f>
        <v>-1.4018335465670129</v>
      </c>
      <c r="Q6" s="8">
        <f>'2_Preprocessed'!$D18</f>
        <v>-1.5874412514856264</v>
      </c>
      <c r="R6" s="9">
        <f t="shared" si="0"/>
        <v>5.3630962271122202</v>
      </c>
    </row>
    <row r="7" spans="1:18">
      <c r="A7" s="7">
        <f t="shared" si="1"/>
        <v>6</v>
      </c>
      <c r="B7" s="7">
        <f t="shared" si="2"/>
        <v>17</v>
      </c>
      <c r="C7" s="7" t="str">
        <f>'1_RawData'!A7</f>
        <v>1949-06</v>
      </c>
      <c r="D7" s="7" t="str">
        <f>'1_RawData'!A18</f>
        <v>1950-05</v>
      </c>
      <c r="E7" s="8">
        <f>'2_Preprocessed'!$D7</f>
        <v>-1.4018335465670129</v>
      </c>
      <c r="F7" s="8">
        <f>'2_Preprocessed'!$D8</f>
        <v>-1.1801069787938072</v>
      </c>
      <c r="G7" s="8">
        <f>'2_Preprocessed'!$D9</f>
        <v>-1.1801069787938072</v>
      </c>
      <c r="H7" s="8">
        <f>'2_Preprocessed'!$D10</f>
        <v>-1.3840348687250386</v>
      </c>
      <c r="I7" s="8">
        <f>'2_Preprocessed'!$D11</f>
        <v>-1.7060738504454833</v>
      </c>
      <c r="J7" s="8">
        <f>'2_Preprocessed'!$D12</f>
        <v>-2.0310097813445909</v>
      </c>
      <c r="K7" s="8">
        <f>'2_Preprocessed'!$D13</f>
        <v>-1.7264259535140745</v>
      </c>
      <c r="L7" s="8">
        <f>'2_Preprocessed'!$D14</f>
        <v>-1.7885335033462055</v>
      </c>
      <c r="M7" s="8">
        <f>'2_Preprocessed'!$D15</f>
        <v>-1.5682243378478569</v>
      </c>
      <c r="N7" s="8">
        <f>'2_Preprocessed'!$D16</f>
        <v>-1.296960071544921</v>
      </c>
      <c r="O7" s="8">
        <f>'2_Preprocessed'!$D17</f>
        <v>-1.4018335465670129</v>
      </c>
      <c r="P7" s="8">
        <f>'2_Preprocessed'!$D18</f>
        <v>-1.5874412514856264</v>
      </c>
      <c r="Q7" s="8">
        <f>'2_Preprocessed'!$D19</f>
        <v>-1.1638664467067135</v>
      </c>
      <c r="R7" s="9">
        <f t="shared" si="0"/>
        <v>5.3392529602719003</v>
      </c>
    </row>
    <row r="8" spans="1:18">
      <c r="A8" s="7">
        <f t="shared" si="1"/>
        <v>7</v>
      </c>
      <c r="B8" s="7">
        <f t="shared" si="2"/>
        <v>18</v>
      </c>
      <c r="C8" s="7" t="str">
        <f>'1_RawData'!A8</f>
        <v>1949-07</v>
      </c>
      <c r="D8" s="7" t="str">
        <f>'1_RawData'!A19</f>
        <v>1950-06</v>
      </c>
      <c r="E8" s="8">
        <f>'2_Preprocessed'!$D8</f>
        <v>-1.1801069787938072</v>
      </c>
      <c r="F8" s="8">
        <f>'2_Preprocessed'!$D9</f>
        <v>-1.1801069787938072</v>
      </c>
      <c r="G8" s="8">
        <f>'2_Preprocessed'!$D10</f>
        <v>-1.3840348687250386</v>
      </c>
      <c r="H8" s="8">
        <f>'2_Preprocessed'!$D11</f>
        <v>-1.7060738504454833</v>
      </c>
      <c r="I8" s="8">
        <f>'2_Preprocessed'!$D12</f>
        <v>-2.0310097813445909</v>
      </c>
      <c r="J8" s="8">
        <f>'2_Preprocessed'!$D13</f>
        <v>-1.7264259535140745</v>
      </c>
      <c r="K8" s="8">
        <f>'2_Preprocessed'!$D14</f>
        <v>-1.7885335033462055</v>
      </c>
      <c r="L8" s="8">
        <f>'2_Preprocessed'!$D15</f>
        <v>-1.5682243378478569</v>
      </c>
      <c r="M8" s="8">
        <f>'2_Preprocessed'!$D16</f>
        <v>-1.296960071544921</v>
      </c>
      <c r="N8" s="8">
        <f>'2_Preprocessed'!$D17</f>
        <v>-1.4018335465670129</v>
      </c>
      <c r="O8" s="8">
        <f>'2_Preprocessed'!$D18</f>
        <v>-1.5874412514856264</v>
      </c>
      <c r="P8" s="8">
        <f>'2_Preprocessed'!$D19</f>
        <v>-1.1638664467067135</v>
      </c>
      <c r="Q8" s="8">
        <f>'2_Preprocessed'!$D20</f>
        <v>-0.84587735662016772</v>
      </c>
      <c r="R8" s="9">
        <f t="shared" si="0"/>
        <v>5.2817676953138815</v>
      </c>
    </row>
    <row r="9" spans="1:18">
      <c r="A9" s="7">
        <f t="shared" si="1"/>
        <v>8</v>
      </c>
      <c r="B9" s="7">
        <f t="shared" si="2"/>
        <v>19</v>
      </c>
      <c r="C9" s="7" t="str">
        <f>'1_RawData'!A9</f>
        <v>1949-08</v>
      </c>
      <c r="D9" s="7" t="str">
        <f>'1_RawData'!A20</f>
        <v>1950-07</v>
      </c>
      <c r="E9" s="8">
        <f>'2_Preprocessed'!$D9</f>
        <v>-1.1801069787938072</v>
      </c>
      <c r="F9" s="8">
        <f>'2_Preprocessed'!$D10</f>
        <v>-1.3840348687250386</v>
      </c>
      <c r="G9" s="8">
        <f>'2_Preprocessed'!$D11</f>
        <v>-1.7060738504454833</v>
      </c>
      <c r="H9" s="8">
        <f>'2_Preprocessed'!$D12</f>
        <v>-2.0310097813445909</v>
      </c>
      <c r="I9" s="8">
        <f>'2_Preprocessed'!$D13</f>
        <v>-1.7264259535140745</v>
      </c>
      <c r="J9" s="8">
        <f>'2_Preprocessed'!$D14</f>
        <v>-1.7885335033462055</v>
      </c>
      <c r="K9" s="8">
        <f>'2_Preprocessed'!$D15</f>
        <v>-1.5682243378478569</v>
      </c>
      <c r="L9" s="8">
        <f>'2_Preprocessed'!$D16</f>
        <v>-1.296960071544921</v>
      </c>
      <c r="M9" s="8">
        <f>'2_Preprocessed'!$D17</f>
        <v>-1.4018335465670129</v>
      </c>
      <c r="N9" s="8">
        <f>'2_Preprocessed'!$D18</f>
        <v>-1.5874412514856264</v>
      </c>
      <c r="O9" s="8">
        <f>'2_Preprocessed'!$D19</f>
        <v>-1.1638664467067135</v>
      </c>
      <c r="P9" s="8">
        <f>'2_Preprocessed'!$D20</f>
        <v>-0.84587735662016772</v>
      </c>
      <c r="Q9" s="8">
        <f>'2_Preprocessed'!$D21</f>
        <v>-0.84587735662016772</v>
      </c>
      <c r="R9" s="9">
        <f t="shared" si="0"/>
        <v>5.2172718932701008</v>
      </c>
    </row>
    <row r="10" spans="1:18">
      <c r="A10" s="7">
        <f t="shared" si="1"/>
        <v>9</v>
      </c>
      <c r="B10" s="7">
        <f t="shared" si="2"/>
        <v>20</v>
      </c>
      <c r="C10" s="7" t="str">
        <f>'1_RawData'!A10</f>
        <v>1949-09</v>
      </c>
      <c r="D10" s="7" t="str">
        <f>'1_RawData'!A21</f>
        <v>1950-08</v>
      </c>
      <c r="E10" s="8">
        <f>'2_Preprocessed'!$D10</f>
        <v>-1.3840348687250386</v>
      </c>
      <c r="F10" s="8">
        <f>'2_Preprocessed'!$D11</f>
        <v>-1.7060738504454833</v>
      </c>
      <c r="G10" s="8">
        <f>'2_Preprocessed'!$D12</f>
        <v>-2.0310097813445909</v>
      </c>
      <c r="H10" s="8">
        <f>'2_Preprocessed'!$D13</f>
        <v>-1.7264259535140745</v>
      </c>
      <c r="I10" s="8">
        <f>'2_Preprocessed'!$D14</f>
        <v>-1.7885335033462055</v>
      </c>
      <c r="J10" s="8">
        <f>'2_Preprocessed'!$D15</f>
        <v>-1.5682243378478569</v>
      </c>
      <c r="K10" s="8">
        <f>'2_Preprocessed'!$D16</f>
        <v>-1.296960071544921</v>
      </c>
      <c r="L10" s="8">
        <f>'2_Preprocessed'!$D17</f>
        <v>-1.4018335465670129</v>
      </c>
      <c r="M10" s="8">
        <f>'2_Preprocessed'!$D18</f>
        <v>-1.5874412514856264</v>
      </c>
      <c r="N10" s="8">
        <f>'2_Preprocessed'!$D19</f>
        <v>-1.1638664467067135</v>
      </c>
      <c r="O10" s="8">
        <f>'2_Preprocessed'!$D20</f>
        <v>-0.84587735662016772</v>
      </c>
      <c r="P10" s="8">
        <f>'2_Preprocessed'!$D21</f>
        <v>-0.84587735662016772</v>
      </c>
      <c r="Q10" s="8">
        <f>'2_Preprocessed'!$D22</f>
        <v>-1.0224227309084524</v>
      </c>
      <c r="R10" s="9">
        <f t="shared" si="0"/>
        <v>5.1519687527537528</v>
      </c>
    </row>
    <row r="11" spans="1:18">
      <c r="A11" s="7">
        <f t="shared" si="1"/>
        <v>10</v>
      </c>
      <c r="B11" s="7">
        <f t="shared" si="2"/>
        <v>21</v>
      </c>
      <c r="C11" s="7" t="str">
        <f>'1_RawData'!A11</f>
        <v>1949-10</v>
      </c>
      <c r="D11" s="7" t="str">
        <f>'1_RawData'!A22</f>
        <v>1950-09</v>
      </c>
      <c r="E11" s="8">
        <f>'2_Preprocessed'!$D11</f>
        <v>-1.7060738504454833</v>
      </c>
      <c r="F11" s="8">
        <f>'2_Preprocessed'!$D12</f>
        <v>-2.0310097813445909</v>
      </c>
      <c r="G11" s="8">
        <f>'2_Preprocessed'!$D13</f>
        <v>-1.7264259535140745</v>
      </c>
      <c r="H11" s="8">
        <f>'2_Preprocessed'!$D14</f>
        <v>-1.7885335033462055</v>
      </c>
      <c r="I11" s="8">
        <f>'2_Preprocessed'!$D15</f>
        <v>-1.5682243378478569</v>
      </c>
      <c r="J11" s="8">
        <f>'2_Preprocessed'!$D16</f>
        <v>-1.296960071544921</v>
      </c>
      <c r="K11" s="8">
        <f>'2_Preprocessed'!$D17</f>
        <v>-1.4018335465670129</v>
      </c>
      <c r="L11" s="8">
        <f>'2_Preprocessed'!$D18</f>
        <v>-1.5874412514856264</v>
      </c>
      <c r="M11" s="8">
        <f>'2_Preprocessed'!$D19</f>
        <v>-1.1638664467067135</v>
      </c>
      <c r="N11" s="8">
        <f>'2_Preprocessed'!$D20</f>
        <v>-0.84587735662016772</v>
      </c>
      <c r="O11" s="8">
        <f>'2_Preprocessed'!$D21</f>
        <v>-0.84587735662016772</v>
      </c>
      <c r="P11" s="8">
        <f>'2_Preprocessed'!$D22</f>
        <v>-1.0224227309084524</v>
      </c>
      <c r="Q11" s="8">
        <f>'2_Preprocessed'!$D23</f>
        <v>-1.4378298849771847</v>
      </c>
      <c r="R11" s="9">
        <f t="shared" si="0"/>
        <v>5.0668113989157542</v>
      </c>
    </row>
    <row r="12" spans="1:18">
      <c r="A12" s="7">
        <f t="shared" si="1"/>
        <v>11</v>
      </c>
      <c r="B12" s="7">
        <f t="shared" si="2"/>
        <v>22</v>
      </c>
      <c r="C12" s="7" t="str">
        <f>'1_RawData'!A12</f>
        <v>1949-11</v>
      </c>
      <c r="D12" s="7" t="str">
        <f>'1_RawData'!A23</f>
        <v>1950-10</v>
      </c>
      <c r="E12" s="8">
        <f>'2_Preprocessed'!$D12</f>
        <v>-2.0310097813445909</v>
      </c>
      <c r="F12" s="8">
        <f>'2_Preprocessed'!$D13</f>
        <v>-1.7264259535140745</v>
      </c>
      <c r="G12" s="8">
        <f>'2_Preprocessed'!$D14</f>
        <v>-1.7885335033462055</v>
      </c>
      <c r="H12" s="8">
        <f>'2_Preprocessed'!$D15</f>
        <v>-1.5682243378478569</v>
      </c>
      <c r="I12" s="8">
        <f>'2_Preprocessed'!$D16</f>
        <v>-1.296960071544921</v>
      </c>
      <c r="J12" s="8">
        <f>'2_Preprocessed'!$D17</f>
        <v>-1.4018335465670129</v>
      </c>
      <c r="K12" s="8">
        <f>'2_Preprocessed'!$D18</f>
        <v>-1.5874412514856264</v>
      </c>
      <c r="L12" s="8">
        <f>'2_Preprocessed'!$D19</f>
        <v>-1.1638664467067135</v>
      </c>
      <c r="M12" s="8">
        <f>'2_Preprocessed'!$D20</f>
        <v>-0.84587735662016772</v>
      </c>
      <c r="N12" s="8">
        <f>'2_Preprocessed'!$D21</f>
        <v>-0.84587735662016772</v>
      </c>
      <c r="O12" s="8">
        <f>'2_Preprocessed'!$D22</f>
        <v>-1.0224227309084524</v>
      </c>
      <c r="P12" s="8">
        <f>'2_Preprocessed'!$D23</f>
        <v>-1.4378298849771847</v>
      </c>
      <c r="Q12" s="8">
        <f>'2_Preprocessed'!$D24</f>
        <v>-1.8095966058012116</v>
      </c>
      <c r="R12" s="9">
        <f t="shared" si="0"/>
        <v>4.9828951972866387</v>
      </c>
    </row>
    <row r="13" spans="1:18">
      <c r="A13" s="7">
        <f t="shared" si="1"/>
        <v>12</v>
      </c>
      <c r="B13" s="7">
        <f t="shared" si="2"/>
        <v>23</v>
      </c>
      <c r="C13" s="7" t="str">
        <f>'1_RawData'!A13</f>
        <v>1949-12</v>
      </c>
      <c r="D13" s="7" t="str">
        <f>'1_RawData'!A24</f>
        <v>1950-11</v>
      </c>
      <c r="E13" s="8">
        <f>'2_Preprocessed'!$D13</f>
        <v>-1.7264259535140745</v>
      </c>
      <c r="F13" s="8">
        <f>'2_Preprocessed'!$D14</f>
        <v>-1.7885335033462055</v>
      </c>
      <c r="G13" s="8">
        <f>'2_Preprocessed'!$D15</f>
        <v>-1.5682243378478569</v>
      </c>
      <c r="H13" s="8">
        <f>'2_Preprocessed'!$D16</f>
        <v>-1.296960071544921</v>
      </c>
      <c r="I13" s="8">
        <f>'2_Preprocessed'!$D17</f>
        <v>-1.4018335465670129</v>
      </c>
      <c r="J13" s="8">
        <f>'2_Preprocessed'!$D18</f>
        <v>-1.5874412514856264</v>
      </c>
      <c r="K13" s="8">
        <f>'2_Preprocessed'!$D19</f>
        <v>-1.1638664467067135</v>
      </c>
      <c r="L13" s="8">
        <f>'2_Preprocessed'!$D20</f>
        <v>-0.84587735662016772</v>
      </c>
      <c r="M13" s="8">
        <f>'2_Preprocessed'!$D21</f>
        <v>-0.84587735662016772</v>
      </c>
      <c r="N13" s="8">
        <f>'2_Preprocessed'!$D22</f>
        <v>-1.0224227309084524</v>
      </c>
      <c r="O13" s="8">
        <f>'2_Preprocessed'!$D23</f>
        <v>-1.4378298849771847</v>
      </c>
      <c r="P13" s="8">
        <f>'2_Preprocessed'!$D24</f>
        <v>-1.8095966058012116</v>
      </c>
      <c r="Q13" s="8">
        <f>'2_Preprocessed'!$D25</f>
        <v>-1.314125339034929</v>
      </c>
      <c r="R13" s="9">
        <f t="shared" si="0"/>
        <v>4.8968238370347894</v>
      </c>
    </row>
    <row r="14" spans="1:18">
      <c r="A14" s="7">
        <f t="shared" si="1"/>
        <v>13</v>
      </c>
      <c r="B14" s="7">
        <f t="shared" si="2"/>
        <v>24</v>
      </c>
      <c r="C14" s="7" t="str">
        <f>'1_RawData'!A14</f>
        <v>1950-01</v>
      </c>
      <c r="D14" s="7" t="str">
        <f>'1_RawData'!A25</f>
        <v>1950-12</v>
      </c>
      <c r="E14" s="8">
        <f>'2_Preprocessed'!$D14</f>
        <v>-1.7885335033462055</v>
      </c>
      <c r="F14" s="8">
        <f>'2_Preprocessed'!$D15</f>
        <v>-1.5682243378478569</v>
      </c>
      <c r="G14" s="8">
        <f>'2_Preprocessed'!$D16</f>
        <v>-1.296960071544921</v>
      </c>
      <c r="H14" s="8">
        <f>'2_Preprocessed'!$D17</f>
        <v>-1.4018335465670129</v>
      </c>
      <c r="I14" s="8">
        <f>'2_Preprocessed'!$D18</f>
        <v>-1.5874412514856264</v>
      </c>
      <c r="J14" s="8">
        <f>'2_Preprocessed'!$D19</f>
        <v>-1.1638664467067135</v>
      </c>
      <c r="K14" s="8">
        <f>'2_Preprocessed'!$D20</f>
        <v>-0.84587735662016772</v>
      </c>
      <c r="L14" s="8">
        <f>'2_Preprocessed'!$D21</f>
        <v>-0.84587735662016772</v>
      </c>
      <c r="M14" s="8">
        <f>'2_Preprocessed'!$D22</f>
        <v>-1.0224227309084524</v>
      </c>
      <c r="N14" s="8">
        <f>'2_Preprocessed'!$D23</f>
        <v>-1.4378298849771847</v>
      </c>
      <c r="O14" s="8">
        <f>'2_Preprocessed'!$D24</f>
        <v>-1.8095966058012116</v>
      </c>
      <c r="P14" s="8">
        <f>'2_Preprocessed'!$D25</f>
        <v>-1.314125339034929</v>
      </c>
      <c r="Q14" s="8">
        <f>'2_Preprocessed'!$D26</f>
        <v>-1.2294952555981102</v>
      </c>
      <c r="R14" s="9">
        <f t="shared" si="0"/>
        <v>4.7671021097390813</v>
      </c>
    </row>
    <row r="15" spans="1:18">
      <c r="A15" s="7">
        <f t="shared" si="1"/>
        <v>14</v>
      </c>
      <c r="B15" s="7">
        <f t="shared" si="2"/>
        <v>25</v>
      </c>
      <c r="C15" s="7" t="str">
        <f>'1_RawData'!A15</f>
        <v>1950-02</v>
      </c>
      <c r="D15" s="7" t="str">
        <f>'1_RawData'!A26</f>
        <v>1951-01</v>
      </c>
      <c r="E15" s="8">
        <f>'2_Preprocessed'!$D15</f>
        <v>-1.5682243378478569</v>
      </c>
      <c r="F15" s="8">
        <f>'2_Preprocessed'!$D16</f>
        <v>-1.296960071544921</v>
      </c>
      <c r="G15" s="8">
        <f>'2_Preprocessed'!$D17</f>
        <v>-1.4018335465670129</v>
      </c>
      <c r="H15" s="8">
        <f>'2_Preprocessed'!$D18</f>
        <v>-1.5874412514856264</v>
      </c>
      <c r="I15" s="8">
        <f>'2_Preprocessed'!$D19</f>
        <v>-1.1638664467067135</v>
      </c>
      <c r="J15" s="8">
        <f>'2_Preprocessed'!$D20</f>
        <v>-0.84587735662016772</v>
      </c>
      <c r="K15" s="8">
        <f>'2_Preprocessed'!$D21</f>
        <v>-0.84587735662016772</v>
      </c>
      <c r="L15" s="8">
        <f>'2_Preprocessed'!$D22</f>
        <v>-1.0224227309084524</v>
      </c>
      <c r="M15" s="8">
        <f>'2_Preprocessed'!$D23</f>
        <v>-1.4378298849771847</v>
      </c>
      <c r="N15" s="8">
        <f>'2_Preprocessed'!$D24</f>
        <v>-1.8095966058012116</v>
      </c>
      <c r="O15" s="8">
        <f>'2_Preprocessed'!$D25</f>
        <v>-1.314125339034929</v>
      </c>
      <c r="P15" s="8">
        <f>'2_Preprocessed'!$D26</f>
        <v>-1.2294952555981102</v>
      </c>
      <c r="Q15" s="8">
        <f>'2_Preprocessed'!$D27</f>
        <v>-1.147734547754085</v>
      </c>
      <c r="R15" s="9">
        <f t="shared" si="0"/>
        <v>4.5867274843427541</v>
      </c>
    </row>
    <row r="16" spans="1:18">
      <c r="A16" s="7">
        <f t="shared" si="1"/>
        <v>15</v>
      </c>
      <c r="B16" s="7">
        <f t="shared" si="2"/>
        <v>26</v>
      </c>
      <c r="C16" s="7" t="str">
        <f>'1_RawData'!A16</f>
        <v>1950-03</v>
      </c>
      <c r="D16" s="7" t="str">
        <f>'1_RawData'!A27</f>
        <v>1951-02</v>
      </c>
      <c r="E16" s="8">
        <f>'2_Preprocessed'!$D16</f>
        <v>-1.296960071544921</v>
      </c>
      <c r="F16" s="8">
        <f>'2_Preprocessed'!$D17</f>
        <v>-1.4018335465670129</v>
      </c>
      <c r="G16" s="8">
        <f>'2_Preprocessed'!$D18</f>
        <v>-1.5874412514856264</v>
      </c>
      <c r="H16" s="8">
        <f>'2_Preprocessed'!$D19</f>
        <v>-1.1638664467067135</v>
      </c>
      <c r="I16" s="8">
        <f>'2_Preprocessed'!$D20</f>
        <v>-0.84587735662016772</v>
      </c>
      <c r="J16" s="8">
        <f>'2_Preprocessed'!$D21</f>
        <v>-0.84587735662016772</v>
      </c>
      <c r="K16" s="8">
        <f>'2_Preprocessed'!$D22</f>
        <v>-1.0224227309084524</v>
      </c>
      <c r="L16" s="8">
        <f>'2_Preprocessed'!$D23</f>
        <v>-1.4378298849771847</v>
      </c>
      <c r="M16" s="8">
        <f>'2_Preprocessed'!$D24</f>
        <v>-1.8095966058012116</v>
      </c>
      <c r="N16" s="8">
        <f>'2_Preprocessed'!$D25</f>
        <v>-1.314125339034929</v>
      </c>
      <c r="O16" s="8">
        <f>'2_Preprocessed'!$D26</f>
        <v>-1.2294952555981102</v>
      </c>
      <c r="P16" s="8">
        <f>'2_Preprocessed'!$D27</f>
        <v>-1.147734547754085</v>
      </c>
      <c r="Q16" s="8">
        <f>'2_Preprocessed'!$D28</f>
        <v>-0.73497460370469814</v>
      </c>
      <c r="R16" s="9">
        <f t="shared" si="0"/>
        <v>4.4604972854957703</v>
      </c>
    </row>
    <row r="17" spans="1:18">
      <c r="A17" s="7">
        <f t="shared" si="1"/>
        <v>16</v>
      </c>
      <c r="B17" s="7">
        <f t="shared" si="2"/>
        <v>27</v>
      </c>
      <c r="C17" s="7" t="str">
        <f>'1_RawData'!A17</f>
        <v>1950-04</v>
      </c>
      <c r="D17" s="7" t="str">
        <f>'1_RawData'!A28</f>
        <v>1951-03</v>
      </c>
      <c r="E17" s="8">
        <f>'2_Preprocessed'!$D17</f>
        <v>-1.4018335465670129</v>
      </c>
      <c r="F17" s="8">
        <f>'2_Preprocessed'!$D18</f>
        <v>-1.5874412514856264</v>
      </c>
      <c r="G17" s="8">
        <f>'2_Preprocessed'!$D19</f>
        <v>-1.1638664467067135</v>
      </c>
      <c r="H17" s="8">
        <f>'2_Preprocessed'!$D20</f>
        <v>-0.84587735662016772</v>
      </c>
      <c r="I17" s="8">
        <f>'2_Preprocessed'!$D21</f>
        <v>-0.84587735662016772</v>
      </c>
      <c r="J17" s="8">
        <f>'2_Preprocessed'!$D22</f>
        <v>-1.0224227309084524</v>
      </c>
      <c r="K17" s="8">
        <f>'2_Preprocessed'!$D23</f>
        <v>-1.4378298849771847</v>
      </c>
      <c r="L17" s="8">
        <f>'2_Preprocessed'!$D24</f>
        <v>-1.8095966058012116</v>
      </c>
      <c r="M17" s="8">
        <f>'2_Preprocessed'!$D25</f>
        <v>-1.314125339034929</v>
      </c>
      <c r="N17" s="8">
        <f>'2_Preprocessed'!$D26</f>
        <v>-1.2294952555981102</v>
      </c>
      <c r="O17" s="8">
        <f>'2_Preprocessed'!$D27</f>
        <v>-1.147734547754085</v>
      </c>
      <c r="P17" s="8">
        <f>'2_Preprocessed'!$D28</f>
        <v>-0.73497460370469814</v>
      </c>
      <c r="Q17" s="8">
        <f>'2_Preprocessed'!$D29</f>
        <v>-0.94728550429877234</v>
      </c>
      <c r="R17" s="9">
        <f t="shared" si="0"/>
        <v>4.3306025302288136</v>
      </c>
    </row>
    <row r="18" spans="1:18">
      <c r="A18" s="7">
        <f t="shared" si="1"/>
        <v>17</v>
      </c>
      <c r="B18" s="7">
        <f t="shared" si="2"/>
        <v>28</v>
      </c>
      <c r="C18" s="7" t="str">
        <f>'1_RawData'!A18</f>
        <v>1950-05</v>
      </c>
      <c r="D18" s="7" t="str">
        <f>'1_RawData'!A29</f>
        <v>1951-04</v>
      </c>
      <c r="E18" s="8">
        <f>'2_Preprocessed'!$D18</f>
        <v>-1.5874412514856264</v>
      </c>
      <c r="F18" s="8">
        <f>'2_Preprocessed'!$D19</f>
        <v>-1.1638664467067135</v>
      </c>
      <c r="G18" s="8">
        <f>'2_Preprocessed'!$D20</f>
        <v>-0.84587735662016772</v>
      </c>
      <c r="H18" s="8">
        <f>'2_Preprocessed'!$D21</f>
        <v>-0.84587735662016772</v>
      </c>
      <c r="I18" s="8">
        <f>'2_Preprocessed'!$D22</f>
        <v>-1.0224227309084524</v>
      </c>
      <c r="J18" s="8">
        <f>'2_Preprocessed'!$D23</f>
        <v>-1.4378298849771847</v>
      </c>
      <c r="K18" s="8">
        <f>'2_Preprocessed'!$D24</f>
        <v>-1.8095966058012116</v>
      </c>
      <c r="L18" s="8">
        <f>'2_Preprocessed'!$D25</f>
        <v>-1.314125339034929</v>
      </c>
      <c r="M18" s="8">
        <f>'2_Preprocessed'!$D26</f>
        <v>-1.2294952555981102</v>
      </c>
      <c r="N18" s="8">
        <f>'2_Preprocessed'!$D27</f>
        <v>-1.147734547754085</v>
      </c>
      <c r="O18" s="8">
        <f>'2_Preprocessed'!$D28</f>
        <v>-0.73497460370469814</v>
      </c>
      <c r="P18" s="8">
        <f>'2_Preprocessed'!$D29</f>
        <v>-0.94728550429877234</v>
      </c>
      <c r="Q18" s="8">
        <f>'2_Preprocessed'!$D30</f>
        <v>-0.81766990171785114</v>
      </c>
      <c r="R18" s="9">
        <f t="shared" si="0"/>
        <v>4.2055119556598735</v>
      </c>
    </row>
    <row r="19" spans="1:18">
      <c r="A19" s="7">
        <f t="shared" si="1"/>
        <v>18</v>
      </c>
      <c r="B19" s="7">
        <f t="shared" si="2"/>
        <v>29</v>
      </c>
      <c r="C19" s="7" t="str">
        <f>'1_RawData'!A19</f>
        <v>1950-06</v>
      </c>
      <c r="D19" s="7" t="str">
        <f>'1_RawData'!A30</f>
        <v>1951-05</v>
      </c>
      <c r="E19" s="8">
        <f>'2_Preprocessed'!$D19</f>
        <v>-1.1638664467067135</v>
      </c>
      <c r="F19" s="8">
        <f>'2_Preprocessed'!$D20</f>
        <v>-0.84587735662016772</v>
      </c>
      <c r="G19" s="8">
        <f>'2_Preprocessed'!$D21</f>
        <v>-0.84587735662016772</v>
      </c>
      <c r="H19" s="8">
        <f>'2_Preprocessed'!$D22</f>
        <v>-1.0224227309084524</v>
      </c>
      <c r="I19" s="8">
        <f>'2_Preprocessed'!$D23</f>
        <v>-1.4378298849771847</v>
      </c>
      <c r="J19" s="8">
        <f>'2_Preprocessed'!$D24</f>
        <v>-1.8095966058012116</v>
      </c>
      <c r="K19" s="8">
        <f>'2_Preprocessed'!$D25</f>
        <v>-1.314125339034929</v>
      </c>
      <c r="L19" s="8">
        <f>'2_Preprocessed'!$D26</f>
        <v>-1.2294952555981102</v>
      </c>
      <c r="M19" s="8">
        <f>'2_Preprocessed'!$D27</f>
        <v>-1.147734547754085</v>
      </c>
      <c r="N19" s="8">
        <f>'2_Preprocessed'!$D28</f>
        <v>-0.73497460370469814</v>
      </c>
      <c r="O19" s="8">
        <f>'2_Preprocessed'!$D29</f>
        <v>-0.94728550429877234</v>
      </c>
      <c r="P19" s="8">
        <f>'2_Preprocessed'!$D30</f>
        <v>-0.81766990171785114</v>
      </c>
      <c r="Q19" s="8">
        <f>'2_Preprocessed'!$D31</f>
        <v>-0.73497460370469814</v>
      </c>
      <c r="R19" s="9">
        <f t="shared" si="0"/>
        <v>3.9793146583871906</v>
      </c>
    </row>
    <row r="20" spans="1:18">
      <c r="A20" s="7">
        <f t="shared" si="1"/>
        <v>19</v>
      </c>
      <c r="B20" s="7">
        <f t="shared" si="2"/>
        <v>30</v>
      </c>
      <c r="C20" s="7" t="str">
        <f>'1_RawData'!A20</f>
        <v>1950-07</v>
      </c>
      <c r="D20" s="7" t="str">
        <f>'1_RawData'!A31</f>
        <v>1951-06</v>
      </c>
      <c r="E20" s="8">
        <f>'2_Preprocessed'!$D20</f>
        <v>-0.84587735662016772</v>
      </c>
      <c r="F20" s="8">
        <f>'2_Preprocessed'!$D21</f>
        <v>-0.84587735662016772</v>
      </c>
      <c r="G20" s="8">
        <f>'2_Preprocessed'!$D22</f>
        <v>-1.0224227309084524</v>
      </c>
      <c r="H20" s="8">
        <f>'2_Preprocessed'!$D23</f>
        <v>-1.4378298849771847</v>
      </c>
      <c r="I20" s="8">
        <f>'2_Preprocessed'!$D24</f>
        <v>-1.8095966058012116</v>
      </c>
      <c r="J20" s="8">
        <f>'2_Preprocessed'!$D25</f>
        <v>-1.314125339034929</v>
      </c>
      <c r="K20" s="8">
        <f>'2_Preprocessed'!$D26</f>
        <v>-1.2294952555981102</v>
      </c>
      <c r="L20" s="8">
        <f>'2_Preprocessed'!$D27</f>
        <v>-1.147734547754085</v>
      </c>
      <c r="M20" s="8">
        <f>'2_Preprocessed'!$D28</f>
        <v>-0.73497460370469814</v>
      </c>
      <c r="N20" s="8">
        <f>'2_Preprocessed'!$D29</f>
        <v>-0.94728550429877234</v>
      </c>
      <c r="O20" s="8">
        <f>'2_Preprocessed'!$D30</f>
        <v>-0.81766990171785114</v>
      </c>
      <c r="P20" s="8">
        <f>'2_Preprocessed'!$D31</f>
        <v>-0.73497460370469814</v>
      </c>
      <c r="Q20" s="8">
        <f>'2_Preprocessed'!$D32</f>
        <v>-0.46601764195589124</v>
      </c>
      <c r="R20" s="9">
        <f t="shared" si="0"/>
        <v>3.8756351366938984</v>
      </c>
    </row>
    <row r="21" spans="1:18">
      <c r="A21" s="7">
        <f t="shared" si="1"/>
        <v>20</v>
      </c>
      <c r="B21" s="7">
        <f t="shared" si="2"/>
        <v>31</v>
      </c>
      <c r="C21" s="7" t="str">
        <f>'1_RawData'!A21</f>
        <v>1950-08</v>
      </c>
      <c r="D21" s="7" t="str">
        <f>'1_RawData'!A32</f>
        <v>1951-07</v>
      </c>
      <c r="E21" s="8">
        <f>'2_Preprocessed'!$D21</f>
        <v>-0.84587735662016772</v>
      </c>
      <c r="F21" s="8">
        <f>'2_Preprocessed'!$D22</f>
        <v>-1.0224227309084524</v>
      </c>
      <c r="G21" s="8">
        <f>'2_Preprocessed'!$D23</f>
        <v>-1.4378298849771847</v>
      </c>
      <c r="H21" s="8">
        <f>'2_Preprocessed'!$D24</f>
        <v>-1.8095966058012116</v>
      </c>
      <c r="I21" s="8">
        <f>'2_Preprocessed'!$D25</f>
        <v>-1.314125339034929</v>
      </c>
      <c r="J21" s="8">
        <f>'2_Preprocessed'!$D26</f>
        <v>-1.2294952555981102</v>
      </c>
      <c r="K21" s="8">
        <f>'2_Preprocessed'!$D27</f>
        <v>-1.147734547754085</v>
      </c>
      <c r="L21" s="8">
        <f>'2_Preprocessed'!$D28</f>
        <v>-0.73497460370469814</v>
      </c>
      <c r="M21" s="8">
        <f>'2_Preprocessed'!$D29</f>
        <v>-0.94728550429877234</v>
      </c>
      <c r="N21" s="8">
        <f>'2_Preprocessed'!$D30</f>
        <v>-0.81766990171785114</v>
      </c>
      <c r="O21" s="8">
        <f>'2_Preprocessed'!$D31</f>
        <v>-0.73497460370469814</v>
      </c>
      <c r="P21" s="8">
        <f>'2_Preprocessed'!$D32</f>
        <v>-0.46601764195589124</v>
      </c>
      <c r="Q21" s="8">
        <f>'2_Preprocessed'!$D33</f>
        <v>-0.46601764195589124</v>
      </c>
      <c r="R21" s="9">
        <f t="shared" si="0"/>
        <v>3.8108019697890021</v>
      </c>
    </row>
    <row r="22" spans="1:18">
      <c r="A22" s="7">
        <f t="shared" si="1"/>
        <v>21</v>
      </c>
      <c r="B22" s="7">
        <f t="shared" si="2"/>
        <v>32</v>
      </c>
      <c r="C22" s="7" t="str">
        <f>'1_RawData'!A22</f>
        <v>1950-09</v>
      </c>
      <c r="D22" s="7" t="str">
        <f>'1_RawData'!A33</f>
        <v>1951-08</v>
      </c>
      <c r="E22" s="8">
        <f>'2_Preprocessed'!$D22</f>
        <v>-1.0224227309084524</v>
      </c>
      <c r="F22" s="8">
        <f>'2_Preprocessed'!$D23</f>
        <v>-1.4378298849771847</v>
      </c>
      <c r="G22" s="8">
        <f>'2_Preprocessed'!$D24</f>
        <v>-1.8095966058012116</v>
      </c>
      <c r="H22" s="8">
        <f>'2_Preprocessed'!$D25</f>
        <v>-1.314125339034929</v>
      </c>
      <c r="I22" s="8">
        <f>'2_Preprocessed'!$D26</f>
        <v>-1.2294952555981102</v>
      </c>
      <c r="J22" s="8">
        <f>'2_Preprocessed'!$D27</f>
        <v>-1.147734547754085</v>
      </c>
      <c r="K22" s="8">
        <f>'2_Preprocessed'!$D28</f>
        <v>-0.73497460370469814</v>
      </c>
      <c r="L22" s="8">
        <f>'2_Preprocessed'!$D29</f>
        <v>-0.94728550429877234</v>
      </c>
      <c r="M22" s="8">
        <f>'2_Preprocessed'!$D30</f>
        <v>-0.81766990171785114</v>
      </c>
      <c r="N22" s="8">
        <f>'2_Preprocessed'!$D31</f>
        <v>-0.73497460370469814</v>
      </c>
      <c r="O22" s="8">
        <f>'2_Preprocessed'!$D32</f>
        <v>-0.46601764195589124</v>
      </c>
      <c r="P22" s="8">
        <f>'2_Preprocessed'!$D33</f>
        <v>-0.46601764195589124</v>
      </c>
      <c r="Q22" s="8">
        <f>'2_Preprocessed'!$D34</f>
        <v>-0.65502109707019052</v>
      </c>
      <c r="R22" s="9">
        <f t="shared" si="0"/>
        <v>3.7448465379931317</v>
      </c>
    </row>
    <row r="23" spans="1:18">
      <c r="A23" s="7">
        <f t="shared" si="1"/>
        <v>22</v>
      </c>
      <c r="B23" s="7">
        <f t="shared" si="2"/>
        <v>33</v>
      </c>
      <c r="C23" s="7" t="str">
        <f>'1_RawData'!A23</f>
        <v>1950-10</v>
      </c>
      <c r="D23" s="7" t="str">
        <f>'1_RawData'!A34</f>
        <v>1951-09</v>
      </c>
      <c r="E23" s="8">
        <f>'2_Preprocessed'!$D23</f>
        <v>-1.4378298849771847</v>
      </c>
      <c r="F23" s="8">
        <f>'2_Preprocessed'!$D24</f>
        <v>-1.8095966058012116</v>
      </c>
      <c r="G23" s="8">
        <f>'2_Preprocessed'!$D25</f>
        <v>-1.314125339034929</v>
      </c>
      <c r="H23" s="8">
        <f>'2_Preprocessed'!$D26</f>
        <v>-1.2294952555981102</v>
      </c>
      <c r="I23" s="8">
        <f>'2_Preprocessed'!$D27</f>
        <v>-1.147734547754085</v>
      </c>
      <c r="J23" s="8">
        <f>'2_Preprocessed'!$D28</f>
        <v>-0.73497460370469814</v>
      </c>
      <c r="K23" s="8">
        <f>'2_Preprocessed'!$D29</f>
        <v>-0.94728550429877234</v>
      </c>
      <c r="L23" s="8">
        <f>'2_Preprocessed'!$D30</f>
        <v>-0.81766990171785114</v>
      </c>
      <c r="M23" s="8">
        <f>'2_Preprocessed'!$D31</f>
        <v>-0.73497460370469814</v>
      </c>
      <c r="N23" s="8">
        <f>'2_Preprocessed'!$D32</f>
        <v>-0.46601764195589124</v>
      </c>
      <c r="O23" s="8">
        <f>'2_Preprocessed'!$D33</f>
        <v>-0.46601764195589124</v>
      </c>
      <c r="P23" s="8">
        <f>'2_Preprocessed'!$D34</f>
        <v>-0.65502109707019052</v>
      </c>
      <c r="Q23" s="8">
        <f>'2_Preprocessed'!$D35</f>
        <v>-0.96212684283547134</v>
      </c>
      <c r="R23" s="9">
        <f t="shared" si="0"/>
        <v>3.6616362449112669</v>
      </c>
    </row>
    <row r="24" spans="1:18">
      <c r="A24" s="7">
        <f t="shared" si="1"/>
        <v>23</v>
      </c>
      <c r="B24" s="7">
        <f t="shared" si="2"/>
        <v>34</v>
      </c>
      <c r="C24" s="7" t="str">
        <f>'1_RawData'!A24</f>
        <v>1950-11</v>
      </c>
      <c r="D24" s="7" t="str">
        <f>'1_RawData'!A35</f>
        <v>1951-10</v>
      </c>
      <c r="E24" s="8">
        <f>'2_Preprocessed'!$D24</f>
        <v>-1.8095966058012116</v>
      </c>
      <c r="F24" s="8">
        <f>'2_Preprocessed'!$D25</f>
        <v>-1.314125339034929</v>
      </c>
      <c r="G24" s="8">
        <f>'2_Preprocessed'!$D26</f>
        <v>-1.2294952555981102</v>
      </c>
      <c r="H24" s="8">
        <f>'2_Preprocessed'!$D27</f>
        <v>-1.147734547754085</v>
      </c>
      <c r="I24" s="8">
        <f>'2_Preprocessed'!$D28</f>
        <v>-0.73497460370469814</v>
      </c>
      <c r="J24" s="8">
        <f>'2_Preprocessed'!$D29</f>
        <v>-0.94728550429877234</v>
      </c>
      <c r="K24" s="8">
        <f>'2_Preprocessed'!$D30</f>
        <v>-0.81766990171785114</v>
      </c>
      <c r="L24" s="8">
        <f>'2_Preprocessed'!$D31</f>
        <v>-0.73497460370469814</v>
      </c>
      <c r="M24" s="8">
        <f>'2_Preprocessed'!$D32</f>
        <v>-0.46601764195589124</v>
      </c>
      <c r="N24" s="8">
        <f>'2_Preprocessed'!$D33</f>
        <v>-0.46601764195589124</v>
      </c>
      <c r="O24" s="8">
        <f>'2_Preprocessed'!$D34</f>
        <v>-0.65502109707019052</v>
      </c>
      <c r="P24" s="8">
        <f>'2_Preprocessed'!$D35</f>
        <v>-0.96212684283547134</v>
      </c>
      <c r="Q24" s="8">
        <f>'2_Preprocessed'!$D36</f>
        <v>-1.212919864569709</v>
      </c>
      <c r="R24" s="9">
        <f t="shared" si="0"/>
        <v>3.5022725869953262</v>
      </c>
    </row>
    <row r="25" spans="1:18">
      <c r="A25" s="7">
        <f t="shared" si="1"/>
        <v>24</v>
      </c>
      <c r="B25" s="7">
        <f t="shared" si="2"/>
        <v>35</v>
      </c>
      <c r="C25" s="7" t="str">
        <f>'1_RawData'!A25</f>
        <v>1950-12</v>
      </c>
      <c r="D25" s="7" t="str">
        <f>'1_RawData'!A36</f>
        <v>1951-11</v>
      </c>
      <c r="E25" s="8">
        <f>'2_Preprocessed'!$D25</f>
        <v>-1.314125339034929</v>
      </c>
      <c r="F25" s="8">
        <f>'2_Preprocessed'!$D26</f>
        <v>-1.2294952555981102</v>
      </c>
      <c r="G25" s="8">
        <f>'2_Preprocessed'!$D27</f>
        <v>-1.147734547754085</v>
      </c>
      <c r="H25" s="8">
        <f>'2_Preprocessed'!$D28</f>
        <v>-0.73497460370469814</v>
      </c>
      <c r="I25" s="8">
        <f>'2_Preprocessed'!$D29</f>
        <v>-0.94728550429877234</v>
      </c>
      <c r="J25" s="8">
        <f>'2_Preprocessed'!$D30</f>
        <v>-0.81766990171785114</v>
      </c>
      <c r="K25" s="8">
        <f>'2_Preprocessed'!$D31</f>
        <v>-0.73497460370469814</v>
      </c>
      <c r="L25" s="8">
        <f>'2_Preprocessed'!$D32</f>
        <v>-0.46601764195589124</v>
      </c>
      <c r="M25" s="8">
        <f>'2_Preprocessed'!$D33</f>
        <v>-0.46601764195589124</v>
      </c>
      <c r="N25" s="8">
        <f>'2_Preprocessed'!$D34</f>
        <v>-0.65502109707019052</v>
      </c>
      <c r="O25" s="8">
        <f>'2_Preprocessed'!$D35</f>
        <v>-0.96212684283547134</v>
      </c>
      <c r="P25" s="8">
        <f>'2_Preprocessed'!$D36</f>
        <v>-1.212919864569709</v>
      </c>
      <c r="Q25" s="8">
        <f>'2_Preprocessed'!$D37</f>
        <v>-0.90330173383002621</v>
      </c>
      <c r="R25" s="9">
        <f t="shared" si="0"/>
        <v>3.2345707591208246</v>
      </c>
    </row>
    <row r="26" spans="1:18">
      <c r="A26" s="7">
        <f t="shared" si="1"/>
        <v>25</v>
      </c>
      <c r="B26" s="7">
        <f t="shared" si="2"/>
        <v>36</v>
      </c>
      <c r="C26" s="7" t="str">
        <f>'1_RawData'!A26</f>
        <v>1951-01</v>
      </c>
      <c r="D26" s="7" t="str">
        <f>'1_RawData'!A37</f>
        <v>1951-12</v>
      </c>
      <c r="E26" s="8">
        <f>'2_Preprocessed'!$D26</f>
        <v>-1.2294952555981102</v>
      </c>
      <c r="F26" s="8">
        <f>'2_Preprocessed'!$D27</f>
        <v>-1.147734547754085</v>
      </c>
      <c r="G26" s="8">
        <f>'2_Preprocessed'!$D28</f>
        <v>-0.73497460370469814</v>
      </c>
      <c r="H26" s="8">
        <f>'2_Preprocessed'!$D29</f>
        <v>-0.94728550429877234</v>
      </c>
      <c r="I26" s="8">
        <f>'2_Preprocessed'!$D30</f>
        <v>-0.81766990171785114</v>
      </c>
      <c r="J26" s="8">
        <f>'2_Preprocessed'!$D31</f>
        <v>-0.73497460370469814</v>
      </c>
      <c r="K26" s="8">
        <f>'2_Preprocessed'!$D32</f>
        <v>-0.46601764195589124</v>
      </c>
      <c r="L26" s="8">
        <f>'2_Preprocessed'!$D33</f>
        <v>-0.46601764195589124</v>
      </c>
      <c r="M26" s="8">
        <f>'2_Preprocessed'!$D34</f>
        <v>-0.65502109707019052</v>
      </c>
      <c r="N26" s="8">
        <f>'2_Preprocessed'!$D35</f>
        <v>-0.96212684283547134</v>
      </c>
      <c r="O26" s="8">
        <f>'2_Preprocessed'!$D36</f>
        <v>-1.212919864569709</v>
      </c>
      <c r="P26" s="8">
        <f>'2_Preprocessed'!$D37</f>
        <v>-0.90330173383002621</v>
      </c>
      <c r="Q26" s="8">
        <f>'2_Preprocessed'!$D38</f>
        <v>-0.83173238996479693</v>
      </c>
      <c r="R26" s="9">
        <f t="shared" si="0"/>
        <v>3.0905463289532049</v>
      </c>
    </row>
    <row r="27" spans="1:18">
      <c r="A27" s="7">
        <f t="shared" si="1"/>
        <v>26</v>
      </c>
      <c r="B27" s="7">
        <f t="shared" si="2"/>
        <v>37</v>
      </c>
      <c r="C27" s="7" t="str">
        <f>'1_RawData'!A27</f>
        <v>1951-02</v>
      </c>
      <c r="D27" s="7" t="str">
        <f>'1_RawData'!A38</f>
        <v>1952-01</v>
      </c>
      <c r="E27" s="8">
        <f>'2_Preprocessed'!$D27</f>
        <v>-1.147734547754085</v>
      </c>
      <c r="F27" s="8">
        <f>'2_Preprocessed'!$D28</f>
        <v>-0.73497460370469814</v>
      </c>
      <c r="G27" s="8">
        <f>'2_Preprocessed'!$D29</f>
        <v>-0.94728550429877234</v>
      </c>
      <c r="H27" s="8">
        <f>'2_Preprocessed'!$D30</f>
        <v>-0.81766990171785114</v>
      </c>
      <c r="I27" s="8">
        <f>'2_Preprocessed'!$D31</f>
        <v>-0.73497460370469814</v>
      </c>
      <c r="J27" s="8">
        <f>'2_Preprocessed'!$D32</f>
        <v>-0.46601764195589124</v>
      </c>
      <c r="K27" s="8">
        <f>'2_Preprocessed'!$D33</f>
        <v>-0.46601764195589124</v>
      </c>
      <c r="L27" s="8">
        <f>'2_Preprocessed'!$D34</f>
        <v>-0.65502109707019052</v>
      </c>
      <c r="M27" s="8">
        <f>'2_Preprocessed'!$D35</f>
        <v>-0.96212684283547134</v>
      </c>
      <c r="N27" s="8">
        <f>'2_Preprocessed'!$D36</f>
        <v>-1.212919864569709</v>
      </c>
      <c r="O27" s="8">
        <f>'2_Preprocessed'!$D37</f>
        <v>-0.90330173383002621</v>
      </c>
      <c r="P27" s="8">
        <f>'2_Preprocessed'!$D38</f>
        <v>-0.83173238996479693</v>
      </c>
      <c r="Q27" s="8">
        <f>'2_Preprocessed'!$D39</f>
        <v>-0.70802784402254137</v>
      </c>
      <c r="R27" s="9">
        <f t="shared" si="0"/>
        <v>2.9549275450312518</v>
      </c>
    </row>
    <row r="28" spans="1:18">
      <c r="A28" s="7">
        <f t="shared" si="1"/>
        <v>27</v>
      </c>
      <c r="B28" s="7">
        <f t="shared" si="2"/>
        <v>38</v>
      </c>
      <c r="C28" s="7" t="str">
        <f>'1_RawData'!A28</f>
        <v>1951-03</v>
      </c>
      <c r="D28" s="7" t="str">
        <f>'1_RawData'!A39</f>
        <v>1952-02</v>
      </c>
      <c r="E28" s="8">
        <f>'2_Preprocessed'!$D28</f>
        <v>-0.73497460370469814</v>
      </c>
      <c r="F28" s="8">
        <f>'2_Preprocessed'!$D29</f>
        <v>-0.94728550429877234</v>
      </c>
      <c r="G28" s="8">
        <f>'2_Preprocessed'!$D30</f>
        <v>-0.81766990171785114</v>
      </c>
      <c r="H28" s="8">
        <f>'2_Preprocessed'!$D31</f>
        <v>-0.73497460370469814</v>
      </c>
      <c r="I28" s="8">
        <f>'2_Preprocessed'!$D32</f>
        <v>-0.46601764195589124</v>
      </c>
      <c r="J28" s="8">
        <f>'2_Preprocessed'!$D33</f>
        <v>-0.46601764195589124</v>
      </c>
      <c r="K28" s="8">
        <f>'2_Preprocessed'!$D34</f>
        <v>-0.65502109707019052</v>
      </c>
      <c r="L28" s="8">
        <f>'2_Preprocessed'!$D35</f>
        <v>-0.96212684283547134</v>
      </c>
      <c r="M28" s="8">
        <f>'2_Preprocessed'!$D36</f>
        <v>-1.212919864569709</v>
      </c>
      <c r="N28" s="8">
        <f>'2_Preprocessed'!$D37</f>
        <v>-0.90330173383002621</v>
      </c>
      <c r="O28" s="8">
        <f>'2_Preprocessed'!$D38</f>
        <v>-0.83173238996479693</v>
      </c>
      <c r="P28" s="8">
        <f>'2_Preprocessed'!$D39</f>
        <v>-0.70802784402254137</v>
      </c>
      <c r="Q28" s="8">
        <f>'2_Preprocessed'!$D40</f>
        <v>-0.53985126228524116</v>
      </c>
      <c r="R28" s="9">
        <f t="shared" si="0"/>
        <v>2.8134686122626915</v>
      </c>
    </row>
    <row r="29" spans="1:18">
      <c r="A29" s="7">
        <f t="shared" si="1"/>
        <v>28</v>
      </c>
      <c r="B29" s="7">
        <f t="shared" si="2"/>
        <v>39</v>
      </c>
      <c r="C29" s="7" t="str">
        <f>'1_RawData'!A29</f>
        <v>1951-04</v>
      </c>
      <c r="D29" s="7" t="str">
        <f>'1_RawData'!A40</f>
        <v>1952-03</v>
      </c>
      <c r="E29" s="8">
        <f>'2_Preprocessed'!$D29</f>
        <v>-0.94728550429877234</v>
      </c>
      <c r="F29" s="8">
        <f>'2_Preprocessed'!$D30</f>
        <v>-0.81766990171785114</v>
      </c>
      <c r="G29" s="8">
        <f>'2_Preprocessed'!$D31</f>
        <v>-0.73497460370469814</v>
      </c>
      <c r="H29" s="8">
        <f>'2_Preprocessed'!$D32</f>
        <v>-0.46601764195589124</v>
      </c>
      <c r="I29" s="8">
        <f>'2_Preprocessed'!$D33</f>
        <v>-0.46601764195589124</v>
      </c>
      <c r="J29" s="8">
        <f>'2_Preprocessed'!$D34</f>
        <v>-0.65502109707019052</v>
      </c>
      <c r="K29" s="8">
        <f>'2_Preprocessed'!$D35</f>
        <v>-0.96212684283547134</v>
      </c>
      <c r="L29" s="8">
        <f>'2_Preprocessed'!$D36</f>
        <v>-1.212919864569709</v>
      </c>
      <c r="M29" s="8">
        <f>'2_Preprocessed'!$D37</f>
        <v>-0.90330173383002621</v>
      </c>
      <c r="N29" s="8">
        <f>'2_Preprocessed'!$D38</f>
        <v>-0.83173238996479693</v>
      </c>
      <c r="O29" s="8">
        <f>'2_Preprocessed'!$D39</f>
        <v>-0.70802784402254137</v>
      </c>
      <c r="P29" s="8">
        <f>'2_Preprocessed'!$D40</f>
        <v>-0.53985126228524116</v>
      </c>
      <c r="Q29" s="8">
        <f>'2_Preprocessed'!$D41</f>
        <v>-0.69466653615595064</v>
      </c>
      <c r="R29" s="9">
        <f t="shared" si="0"/>
        <v>2.7689090540296637</v>
      </c>
    </row>
    <row r="30" spans="1:18">
      <c r="A30" s="7">
        <f t="shared" si="1"/>
        <v>29</v>
      </c>
      <c r="B30" s="7">
        <f t="shared" si="2"/>
        <v>40</v>
      </c>
      <c r="C30" s="7" t="str">
        <f>'1_RawData'!A30</f>
        <v>1951-05</v>
      </c>
      <c r="D30" s="7" t="str">
        <f>'1_RawData'!A41</f>
        <v>1952-04</v>
      </c>
      <c r="E30" s="8">
        <f>'2_Preprocessed'!$D30</f>
        <v>-0.81766990171785114</v>
      </c>
      <c r="F30" s="8">
        <f>'2_Preprocessed'!$D31</f>
        <v>-0.73497460370469814</v>
      </c>
      <c r="G30" s="8">
        <f>'2_Preprocessed'!$D32</f>
        <v>-0.46601764195589124</v>
      </c>
      <c r="H30" s="8">
        <f>'2_Preprocessed'!$D33</f>
        <v>-0.46601764195589124</v>
      </c>
      <c r="I30" s="8">
        <f>'2_Preprocessed'!$D34</f>
        <v>-0.65502109707019052</v>
      </c>
      <c r="J30" s="8">
        <f>'2_Preprocessed'!$D35</f>
        <v>-0.96212684283547134</v>
      </c>
      <c r="K30" s="8">
        <f>'2_Preprocessed'!$D36</f>
        <v>-1.212919864569709</v>
      </c>
      <c r="L30" s="8">
        <f>'2_Preprocessed'!$D37</f>
        <v>-0.90330173383002621</v>
      </c>
      <c r="M30" s="8">
        <f>'2_Preprocessed'!$D38</f>
        <v>-0.83173238996479693</v>
      </c>
      <c r="N30" s="8">
        <f>'2_Preprocessed'!$D39</f>
        <v>-0.70802784402254137</v>
      </c>
      <c r="O30" s="8">
        <f>'2_Preprocessed'!$D40</f>
        <v>-0.53985126228524116</v>
      </c>
      <c r="P30" s="8">
        <f>'2_Preprocessed'!$D41</f>
        <v>-0.69466653615595064</v>
      </c>
      <c r="Q30" s="8">
        <f>'2_Preprocessed'!$D42</f>
        <v>-0.66816396284603252</v>
      </c>
      <c r="R30" s="9">
        <f t="shared" si="0"/>
        <v>2.6929666019629308</v>
      </c>
    </row>
    <row r="31" spans="1:18">
      <c r="A31" s="7">
        <f t="shared" si="1"/>
        <v>30</v>
      </c>
      <c r="B31" s="7">
        <f t="shared" si="2"/>
        <v>41</v>
      </c>
      <c r="C31" s="7" t="str">
        <f>'1_RawData'!A31</f>
        <v>1951-06</v>
      </c>
      <c r="D31" s="7" t="str">
        <f>'1_RawData'!A42</f>
        <v>1952-05</v>
      </c>
      <c r="E31" s="8">
        <f>'2_Preprocessed'!$D31</f>
        <v>-0.73497460370469814</v>
      </c>
      <c r="F31" s="8">
        <f>'2_Preprocessed'!$D32</f>
        <v>-0.46601764195589124</v>
      </c>
      <c r="G31" s="8">
        <f>'2_Preprocessed'!$D33</f>
        <v>-0.46601764195589124</v>
      </c>
      <c r="H31" s="8">
        <f>'2_Preprocessed'!$D34</f>
        <v>-0.65502109707019052</v>
      </c>
      <c r="I31" s="8">
        <f>'2_Preprocessed'!$D35</f>
        <v>-0.96212684283547134</v>
      </c>
      <c r="J31" s="8">
        <f>'2_Preprocessed'!$D36</f>
        <v>-1.212919864569709</v>
      </c>
      <c r="K31" s="8">
        <f>'2_Preprocessed'!$D37</f>
        <v>-0.90330173383002621</v>
      </c>
      <c r="L31" s="8">
        <f>'2_Preprocessed'!$D38</f>
        <v>-0.83173238996479693</v>
      </c>
      <c r="M31" s="8">
        <f>'2_Preprocessed'!$D39</f>
        <v>-0.70802784402254137</v>
      </c>
      <c r="N31" s="8">
        <f>'2_Preprocessed'!$D40</f>
        <v>-0.53985126228524116</v>
      </c>
      <c r="O31" s="8">
        <f>'2_Preprocessed'!$D41</f>
        <v>-0.69466653615595064</v>
      </c>
      <c r="P31" s="8">
        <f>'2_Preprocessed'!$D42</f>
        <v>-0.66816396284603252</v>
      </c>
      <c r="Q31" s="8">
        <f>'2_Preprocessed'!$D43</f>
        <v>-0.24609324191803478</v>
      </c>
      <c r="R31" s="9">
        <f t="shared" si="0"/>
        <v>2.6514011639807746</v>
      </c>
    </row>
    <row r="32" spans="1:18">
      <c r="A32" s="7">
        <f t="shared" si="1"/>
        <v>31</v>
      </c>
      <c r="B32" s="7">
        <f t="shared" si="2"/>
        <v>42</v>
      </c>
      <c r="C32" s="7" t="str">
        <f>'1_RawData'!A32</f>
        <v>1951-07</v>
      </c>
      <c r="D32" s="7" t="str">
        <f>'1_RawData'!A43</f>
        <v>1952-06</v>
      </c>
      <c r="E32" s="8">
        <f>'2_Preprocessed'!$D32</f>
        <v>-0.46601764195589124</v>
      </c>
      <c r="F32" s="8">
        <f>'2_Preprocessed'!$D33</f>
        <v>-0.46601764195589124</v>
      </c>
      <c r="G32" s="8">
        <f>'2_Preprocessed'!$D34</f>
        <v>-0.65502109707019052</v>
      </c>
      <c r="H32" s="8">
        <f>'2_Preprocessed'!$D35</f>
        <v>-0.96212684283547134</v>
      </c>
      <c r="I32" s="8">
        <f>'2_Preprocessed'!$D36</f>
        <v>-1.212919864569709</v>
      </c>
      <c r="J32" s="8">
        <f>'2_Preprocessed'!$D37</f>
        <v>-0.90330173383002621</v>
      </c>
      <c r="K32" s="8">
        <f>'2_Preprocessed'!$D38</f>
        <v>-0.83173238996479693</v>
      </c>
      <c r="L32" s="8">
        <f>'2_Preprocessed'!$D39</f>
        <v>-0.70802784402254137</v>
      </c>
      <c r="M32" s="8">
        <f>'2_Preprocessed'!$D40</f>
        <v>-0.53985126228524116</v>
      </c>
      <c r="N32" s="8">
        <f>'2_Preprocessed'!$D41</f>
        <v>-0.69466653615595064</v>
      </c>
      <c r="O32" s="8">
        <f>'2_Preprocessed'!$D42</f>
        <v>-0.66816396284603252</v>
      </c>
      <c r="P32" s="8">
        <f>'2_Preprocessed'!$D43</f>
        <v>-0.24609324191803478</v>
      </c>
      <c r="Q32" s="8">
        <f>'2_Preprocessed'!$D44</f>
        <v>-0.11686358496531957</v>
      </c>
      <c r="R32" s="9">
        <f t="shared" si="0"/>
        <v>2.5593558462991144</v>
      </c>
    </row>
    <row r="33" spans="1:18">
      <c r="A33" s="7">
        <f t="shared" si="1"/>
        <v>32</v>
      </c>
      <c r="B33" s="7">
        <f t="shared" si="2"/>
        <v>43</v>
      </c>
      <c r="C33" s="7" t="str">
        <f>'1_RawData'!A33</f>
        <v>1951-08</v>
      </c>
      <c r="D33" s="7" t="str">
        <f>'1_RawData'!A44</f>
        <v>1952-07</v>
      </c>
      <c r="E33" s="8">
        <f>'2_Preprocessed'!$D33</f>
        <v>-0.46601764195589124</v>
      </c>
      <c r="F33" s="8">
        <f>'2_Preprocessed'!$D34</f>
        <v>-0.65502109707019052</v>
      </c>
      <c r="G33" s="8">
        <f>'2_Preprocessed'!$D35</f>
        <v>-0.96212684283547134</v>
      </c>
      <c r="H33" s="8">
        <f>'2_Preprocessed'!$D36</f>
        <v>-1.212919864569709</v>
      </c>
      <c r="I33" s="8">
        <f>'2_Preprocessed'!$D37</f>
        <v>-0.90330173383002621</v>
      </c>
      <c r="J33" s="8">
        <f>'2_Preprocessed'!$D38</f>
        <v>-0.83173238996479693</v>
      </c>
      <c r="K33" s="8">
        <f>'2_Preprocessed'!$D39</f>
        <v>-0.70802784402254137</v>
      </c>
      <c r="L33" s="8">
        <f>'2_Preprocessed'!$D40</f>
        <v>-0.53985126228524116</v>
      </c>
      <c r="M33" s="8">
        <f>'2_Preprocessed'!$D41</f>
        <v>-0.69466653615595064</v>
      </c>
      <c r="N33" s="8">
        <f>'2_Preprocessed'!$D42</f>
        <v>-0.66816396284603252</v>
      </c>
      <c r="O33" s="8">
        <f>'2_Preprocessed'!$D43</f>
        <v>-0.24609324191803478</v>
      </c>
      <c r="P33" s="8">
        <f>'2_Preprocessed'!$D44</f>
        <v>-0.11686358496531957</v>
      </c>
      <c r="Q33" s="8">
        <f>'2_Preprocessed'!$D45</f>
        <v>5.7921634386639814E-3</v>
      </c>
      <c r="R33" s="9">
        <f t="shared" si="0"/>
        <v>2.5192830334962908</v>
      </c>
    </row>
    <row r="34" spans="1:18">
      <c r="A34" s="7">
        <f t="shared" si="1"/>
        <v>33</v>
      </c>
      <c r="B34" s="7">
        <f t="shared" si="2"/>
        <v>44</v>
      </c>
      <c r="C34" s="7" t="str">
        <f>'1_RawData'!A34</f>
        <v>1951-09</v>
      </c>
      <c r="D34" s="7" t="str">
        <f>'1_RawData'!A45</f>
        <v>1952-08</v>
      </c>
      <c r="E34" s="8">
        <f>'2_Preprocessed'!$D34</f>
        <v>-0.65502109707019052</v>
      </c>
      <c r="F34" s="8">
        <f>'2_Preprocessed'!$D35</f>
        <v>-0.96212684283547134</v>
      </c>
      <c r="G34" s="8">
        <f>'2_Preprocessed'!$D36</f>
        <v>-1.212919864569709</v>
      </c>
      <c r="H34" s="8">
        <f>'2_Preprocessed'!$D37</f>
        <v>-0.90330173383002621</v>
      </c>
      <c r="I34" s="8">
        <f>'2_Preprocessed'!$D38</f>
        <v>-0.83173238996479693</v>
      </c>
      <c r="J34" s="8">
        <f>'2_Preprocessed'!$D39</f>
        <v>-0.70802784402254137</v>
      </c>
      <c r="K34" s="8">
        <f>'2_Preprocessed'!$D40</f>
        <v>-0.53985126228524116</v>
      </c>
      <c r="L34" s="8">
        <f>'2_Preprocessed'!$D41</f>
        <v>-0.69466653615595064</v>
      </c>
      <c r="M34" s="8">
        <f>'2_Preprocessed'!$D42</f>
        <v>-0.66816396284603252</v>
      </c>
      <c r="N34" s="8">
        <f>'2_Preprocessed'!$D43</f>
        <v>-0.24609324191803478</v>
      </c>
      <c r="O34" s="8">
        <f>'2_Preprocessed'!$D44</f>
        <v>-0.11686358496531957</v>
      </c>
      <c r="P34" s="8">
        <f>'2_Preprocessed'!$D45</f>
        <v>5.7921634386639814E-3</v>
      </c>
      <c r="Q34" s="8">
        <f>'2_Preprocessed'!$D46</f>
        <v>-0.34777288682773144</v>
      </c>
      <c r="R34" s="9">
        <f t="shared" si="0"/>
        <v>2.4758126159718641</v>
      </c>
    </row>
    <row r="35" spans="1:18">
      <c r="A35" s="7">
        <f t="shared" si="1"/>
        <v>34</v>
      </c>
      <c r="B35" s="7">
        <f t="shared" si="2"/>
        <v>45</v>
      </c>
      <c r="C35" s="7" t="str">
        <f>'1_RawData'!A35</f>
        <v>1951-10</v>
      </c>
      <c r="D35" s="7" t="str">
        <f>'1_RawData'!A46</f>
        <v>1952-09</v>
      </c>
      <c r="E35" s="8">
        <f>'2_Preprocessed'!$D35</f>
        <v>-0.96212684283547134</v>
      </c>
      <c r="F35" s="8">
        <f>'2_Preprocessed'!$D36</f>
        <v>-1.212919864569709</v>
      </c>
      <c r="G35" s="8">
        <f>'2_Preprocessed'!$D37</f>
        <v>-0.90330173383002621</v>
      </c>
      <c r="H35" s="8">
        <f>'2_Preprocessed'!$D38</f>
        <v>-0.83173238996479693</v>
      </c>
      <c r="I35" s="8">
        <f>'2_Preprocessed'!$D39</f>
        <v>-0.70802784402254137</v>
      </c>
      <c r="J35" s="8">
        <f>'2_Preprocessed'!$D40</f>
        <v>-0.53985126228524116</v>
      </c>
      <c r="K35" s="8">
        <f>'2_Preprocessed'!$D41</f>
        <v>-0.69466653615595064</v>
      </c>
      <c r="L35" s="8">
        <f>'2_Preprocessed'!$D42</f>
        <v>-0.66816396284603252</v>
      </c>
      <c r="M35" s="8">
        <f>'2_Preprocessed'!$D43</f>
        <v>-0.24609324191803478</v>
      </c>
      <c r="N35" s="8">
        <f>'2_Preprocessed'!$D44</f>
        <v>-0.11686358496531957</v>
      </c>
      <c r="O35" s="8">
        <f>'2_Preprocessed'!$D45</f>
        <v>5.7921634386639814E-3</v>
      </c>
      <c r="P35" s="8">
        <f>'2_Preprocessed'!$D46</f>
        <v>-0.34777288682773144</v>
      </c>
      <c r="Q35" s="8">
        <f>'2_Preprocessed'!$D47</f>
        <v>-0.56497346758606415</v>
      </c>
      <c r="R35" s="9">
        <f t="shared" si="0"/>
        <v>2.4127870715442139</v>
      </c>
    </row>
    <row r="36" spans="1:18">
      <c r="A36" s="7">
        <f t="shared" si="1"/>
        <v>35</v>
      </c>
      <c r="B36" s="7">
        <f t="shared" si="2"/>
        <v>46</v>
      </c>
      <c r="C36" s="7" t="str">
        <f>'1_RawData'!A36</f>
        <v>1951-11</v>
      </c>
      <c r="D36" s="7" t="str">
        <f>'1_RawData'!A47</f>
        <v>1952-10</v>
      </c>
      <c r="E36" s="8">
        <f>'2_Preprocessed'!$D36</f>
        <v>-1.212919864569709</v>
      </c>
      <c r="F36" s="8">
        <f>'2_Preprocessed'!$D37</f>
        <v>-0.90330173383002621</v>
      </c>
      <c r="G36" s="8">
        <f>'2_Preprocessed'!$D38</f>
        <v>-0.83173238996479693</v>
      </c>
      <c r="H36" s="8">
        <f>'2_Preprocessed'!$D39</f>
        <v>-0.70802784402254137</v>
      </c>
      <c r="I36" s="8">
        <f>'2_Preprocessed'!$D40</f>
        <v>-0.53985126228524116</v>
      </c>
      <c r="J36" s="8">
        <f>'2_Preprocessed'!$D41</f>
        <v>-0.69466653615595064</v>
      </c>
      <c r="K36" s="8">
        <f>'2_Preprocessed'!$D42</f>
        <v>-0.66816396284603252</v>
      </c>
      <c r="L36" s="8">
        <f>'2_Preprocessed'!$D43</f>
        <v>-0.24609324191803478</v>
      </c>
      <c r="M36" s="8">
        <f>'2_Preprocessed'!$D44</f>
        <v>-0.11686358496531957</v>
      </c>
      <c r="N36" s="8">
        <f>'2_Preprocessed'!$D45</f>
        <v>5.7921634386639814E-3</v>
      </c>
      <c r="O36" s="8">
        <f>'2_Preprocessed'!$D46</f>
        <v>-0.34777288682773144</v>
      </c>
      <c r="P36" s="8">
        <f>'2_Preprocessed'!$D47</f>
        <v>-0.56497346758606415</v>
      </c>
      <c r="Q36" s="8">
        <f>'2_Preprocessed'!$D48</f>
        <v>-0.81766990171785114</v>
      </c>
      <c r="R36" s="9">
        <f t="shared" si="0"/>
        <v>2.2836480486236432</v>
      </c>
    </row>
    <row r="37" spans="1:18">
      <c r="A37" s="7">
        <f t="shared" si="1"/>
        <v>36</v>
      </c>
      <c r="B37" s="7">
        <f t="shared" si="2"/>
        <v>47</v>
      </c>
      <c r="C37" s="7" t="str">
        <f>'1_RawData'!A37</f>
        <v>1951-12</v>
      </c>
      <c r="D37" s="7" t="str">
        <f>'1_RawData'!A48</f>
        <v>1952-11</v>
      </c>
      <c r="E37" s="8">
        <f>'2_Preprocessed'!$D37</f>
        <v>-0.90330173383002621</v>
      </c>
      <c r="F37" s="8">
        <f>'2_Preprocessed'!$D38</f>
        <v>-0.83173238996479693</v>
      </c>
      <c r="G37" s="8">
        <f>'2_Preprocessed'!$D39</f>
        <v>-0.70802784402254137</v>
      </c>
      <c r="H37" s="8">
        <f>'2_Preprocessed'!$D40</f>
        <v>-0.53985126228524116</v>
      </c>
      <c r="I37" s="8">
        <f>'2_Preprocessed'!$D41</f>
        <v>-0.69466653615595064</v>
      </c>
      <c r="J37" s="8">
        <f>'2_Preprocessed'!$D42</f>
        <v>-0.66816396284603252</v>
      </c>
      <c r="K37" s="8">
        <f>'2_Preprocessed'!$D43</f>
        <v>-0.24609324191803478</v>
      </c>
      <c r="L37" s="8">
        <f>'2_Preprocessed'!$D44</f>
        <v>-0.11686358496531957</v>
      </c>
      <c r="M37" s="8">
        <f>'2_Preprocessed'!$D45</f>
        <v>5.7921634386639814E-3</v>
      </c>
      <c r="N37" s="8">
        <f>'2_Preprocessed'!$D46</f>
        <v>-0.34777288682773144</v>
      </c>
      <c r="O37" s="8">
        <f>'2_Preprocessed'!$D47</f>
        <v>-0.56497346758606415</v>
      </c>
      <c r="P37" s="8">
        <f>'2_Preprocessed'!$D48</f>
        <v>-0.81766990171785114</v>
      </c>
      <c r="Q37" s="8">
        <f>'2_Preprocessed'!$D49</f>
        <v>-0.5273876174847536</v>
      </c>
      <c r="R37" s="9">
        <f t="shared" si="0"/>
        <v>2.1005851280750449</v>
      </c>
    </row>
    <row r="38" spans="1:18">
      <c r="A38" s="7">
        <f t="shared" si="1"/>
        <v>37</v>
      </c>
      <c r="B38" s="7">
        <f t="shared" si="2"/>
        <v>48</v>
      </c>
      <c r="C38" s="7" t="str">
        <f>'1_RawData'!A38</f>
        <v>1952-01</v>
      </c>
      <c r="D38" s="7" t="str">
        <f>'1_RawData'!A49</f>
        <v>1952-12</v>
      </c>
      <c r="E38" s="8">
        <f>'2_Preprocessed'!$D38</f>
        <v>-0.83173238996479693</v>
      </c>
      <c r="F38" s="8">
        <f>'2_Preprocessed'!$D39</f>
        <v>-0.70802784402254137</v>
      </c>
      <c r="G38" s="8">
        <f>'2_Preprocessed'!$D40</f>
        <v>-0.53985126228524116</v>
      </c>
      <c r="H38" s="8">
        <f>'2_Preprocessed'!$D41</f>
        <v>-0.69466653615595064</v>
      </c>
      <c r="I38" s="8">
        <f>'2_Preprocessed'!$D42</f>
        <v>-0.66816396284603252</v>
      </c>
      <c r="J38" s="8">
        <f>'2_Preprocessed'!$D43</f>
        <v>-0.24609324191803478</v>
      </c>
      <c r="K38" s="8">
        <f>'2_Preprocessed'!$D44</f>
        <v>-0.11686358496531957</v>
      </c>
      <c r="L38" s="8">
        <f>'2_Preprocessed'!$D45</f>
        <v>5.7921634386639814E-3</v>
      </c>
      <c r="M38" s="8">
        <f>'2_Preprocessed'!$D46</f>
        <v>-0.34777288682773144</v>
      </c>
      <c r="N38" s="8">
        <f>'2_Preprocessed'!$D47</f>
        <v>-0.56497346758606415</v>
      </c>
      <c r="O38" s="8">
        <f>'2_Preprocessed'!$D48</f>
        <v>-0.81766990171785114</v>
      </c>
      <c r="P38" s="8">
        <f>'2_Preprocessed'!$D49</f>
        <v>-0.5273876174847536</v>
      </c>
      <c r="Q38" s="8">
        <f>'2_Preprocessed'!$D50</f>
        <v>-0.50265191447935864</v>
      </c>
      <c r="R38" s="9">
        <f t="shared" si="0"/>
        <v>1.9684109217909675</v>
      </c>
    </row>
    <row r="39" spans="1:18">
      <c r="A39" s="7">
        <f t="shared" si="1"/>
        <v>38</v>
      </c>
      <c r="B39" s="7">
        <f t="shared" si="2"/>
        <v>49</v>
      </c>
      <c r="C39" s="7" t="str">
        <f>'1_RawData'!A39</f>
        <v>1952-02</v>
      </c>
      <c r="D39" s="7" t="str">
        <f>'1_RawData'!A50</f>
        <v>1953-01</v>
      </c>
      <c r="E39" s="8">
        <f>'2_Preprocessed'!$D39</f>
        <v>-0.70802784402254137</v>
      </c>
      <c r="F39" s="8">
        <f>'2_Preprocessed'!$D40</f>
        <v>-0.53985126228524116</v>
      </c>
      <c r="G39" s="8">
        <f>'2_Preprocessed'!$D41</f>
        <v>-0.69466653615595064</v>
      </c>
      <c r="H39" s="8">
        <f>'2_Preprocessed'!$D42</f>
        <v>-0.66816396284603252</v>
      </c>
      <c r="I39" s="8">
        <f>'2_Preprocessed'!$D43</f>
        <v>-0.24609324191803478</v>
      </c>
      <c r="J39" s="8">
        <f>'2_Preprocessed'!$D44</f>
        <v>-0.11686358496531957</v>
      </c>
      <c r="K39" s="8">
        <f>'2_Preprocessed'!$D45</f>
        <v>5.7921634386639814E-3</v>
      </c>
      <c r="L39" s="8">
        <f>'2_Preprocessed'!$D46</f>
        <v>-0.34777288682773144</v>
      </c>
      <c r="M39" s="8">
        <f>'2_Preprocessed'!$D47</f>
        <v>-0.56497346758606415</v>
      </c>
      <c r="N39" s="8">
        <f>'2_Preprocessed'!$D48</f>
        <v>-0.81766990171785114</v>
      </c>
      <c r="O39" s="8">
        <f>'2_Preprocessed'!$D49</f>
        <v>-0.5273876174847536</v>
      </c>
      <c r="P39" s="8">
        <f>'2_Preprocessed'!$D50</f>
        <v>-0.50265191447935864</v>
      </c>
      <c r="Q39" s="8">
        <f>'2_Preprocessed'!$D51</f>
        <v>-0.50265191447935864</v>
      </c>
      <c r="R39" s="9">
        <f t="shared" si="0"/>
        <v>1.8535160467714269</v>
      </c>
    </row>
    <row r="40" spans="1:18">
      <c r="A40" s="7">
        <f t="shared" si="1"/>
        <v>39</v>
      </c>
      <c r="B40" s="7">
        <f t="shared" si="2"/>
        <v>50</v>
      </c>
      <c r="C40" s="7" t="str">
        <f>'1_RawData'!A40</f>
        <v>1952-03</v>
      </c>
      <c r="D40" s="7" t="str">
        <f>'1_RawData'!A51</f>
        <v>1953-02</v>
      </c>
      <c r="E40" s="8">
        <f>'2_Preprocessed'!$D40</f>
        <v>-0.53985126228524116</v>
      </c>
      <c r="F40" s="8">
        <f>'2_Preprocessed'!$D41</f>
        <v>-0.69466653615595064</v>
      </c>
      <c r="G40" s="8">
        <f>'2_Preprocessed'!$D42</f>
        <v>-0.66816396284603252</v>
      </c>
      <c r="H40" s="8">
        <f>'2_Preprocessed'!$D43</f>
        <v>-0.24609324191803478</v>
      </c>
      <c r="I40" s="8">
        <f>'2_Preprocessed'!$D44</f>
        <v>-0.11686358496531957</v>
      </c>
      <c r="J40" s="8">
        <f>'2_Preprocessed'!$D45</f>
        <v>5.7921634386639814E-3</v>
      </c>
      <c r="K40" s="8">
        <f>'2_Preprocessed'!$D46</f>
        <v>-0.34777288682773144</v>
      </c>
      <c r="L40" s="8">
        <f>'2_Preprocessed'!$D47</f>
        <v>-0.56497346758606415</v>
      </c>
      <c r="M40" s="8">
        <f>'2_Preprocessed'!$D48</f>
        <v>-0.81766990171785114</v>
      </c>
      <c r="N40" s="8">
        <f>'2_Preprocessed'!$D49</f>
        <v>-0.5273876174847536</v>
      </c>
      <c r="O40" s="8">
        <f>'2_Preprocessed'!$D50</f>
        <v>-0.50265191447935864</v>
      </c>
      <c r="P40" s="8">
        <f>'2_Preprocessed'!$D51</f>
        <v>-0.50265191447935864</v>
      </c>
      <c r="Q40" s="8">
        <f>'2_Preprocessed'!$D52</f>
        <v>-5.4756035133188379E-2</v>
      </c>
      <c r="R40" s="9">
        <f t="shared" si="0"/>
        <v>1.7851826950925036</v>
      </c>
    </row>
    <row r="41" spans="1:18">
      <c r="A41" s="7">
        <f t="shared" si="1"/>
        <v>40</v>
      </c>
      <c r="B41" s="7">
        <f t="shared" si="2"/>
        <v>51</v>
      </c>
      <c r="C41" s="7" t="str">
        <f>'1_RawData'!A41</f>
        <v>1952-04</v>
      </c>
      <c r="D41" s="7" t="str">
        <f>'1_RawData'!A52</f>
        <v>1953-03</v>
      </c>
      <c r="E41" s="8">
        <f>'2_Preprocessed'!$D41</f>
        <v>-0.69466653615595064</v>
      </c>
      <c r="F41" s="8">
        <f>'2_Preprocessed'!$D42</f>
        <v>-0.66816396284603252</v>
      </c>
      <c r="G41" s="8">
        <f>'2_Preprocessed'!$D43</f>
        <v>-0.24609324191803478</v>
      </c>
      <c r="H41" s="8">
        <f>'2_Preprocessed'!$D44</f>
        <v>-0.11686358496531957</v>
      </c>
      <c r="I41" s="8">
        <f>'2_Preprocessed'!$D45</f>
        <v>5.7921634386639814E-3</v>
      </c>
      <c r="J41" s="8">
        <f>'2_Preprocessed'!$D46</f>
        <v>-0.34777288682773144</v>
      </c>
      <c r="K41" s="8">
        <f>'2_Preprocessed'!$D47</f>
        <v>-0.56497346758606415</v>
      </c>
      <c r="L41" s="8">
        <f>'2_Preprocessed'!$D48</f>
        <v>-0.81766990171785114</v>
      </c>
      <c r="M41" s="8">
        <f>'2_Preprocessed'!$D49</f>
        <v>-0.5273876174847536</v>
      </c>
      <c r="N41" s="8">
        <f>'2_Preprocessed'!$D50</f>
        <v>-0.50265191447935864</v>
      </c>
      <c r="O41" s="8">
        <f>'2_Preprocessed'!$D51</f>
        <v>-0.50265191447935864</v>
      </c>
      <c r="P41" s="8">
        <f>'2_Preprocessed'!$D52</f>
        <v>-5.4756035133188379E-2</v>
      </c>
      <c r="Q41" s="8">
        <f>'2_Preprocessed'!$D53</f>
        <v>-6.4996856895578492E-2</v>
      </c>
      <c r="R41" s="9">
        <f t="shared" si="0"/>
        <v>1.7024793957197466</v>
      </c>
    </row>
    <row r="42" spans="1:18">
      <c r="A42" s="7">
        <f t="shared" si="1"/>
        <v>41</v>
      </c>
      <c r="B42" s="7">
        <f t="shared" si="2"/>
        <v>52</v>
      </c>
      <c r="C42" s="7" t="str">
        <f>'1_RawData'!A42</f>
        <v>1952-05</v>
      </c>
      <c r="D42" s="7" t="str">
        <f>'1_RawData'!A53</f>
        <v>1953-04</v>
      </c>
      <c r="E42" s="8">
        <f>'2_Preprocessed'!$D42</f>
        <v>-0.66816396284603252</v>
      </c>
      <c r="F42" s="8">
        <f>'2_Preprocessed'!$D43</f>
        <v>-0.24609324191803478</v>
      </c>
      <c r="G42" s="8">
        <f>'2_Preprocessed'!$D44</f>
        <v>-0.11686358496531957</v>
      </c>
      <c r="H42" s="8">
        <f>'2_Preprocessed'!$D45</f>
        <v>5.7921634386639814E-3</v>
      </c>
      <c r="I42" s="8">
        <f>'2_Preprocessed'!$D46</f>
        <v>-0.34777288682773144</v>
      </c>
      <c r="J42" s="8">
        <f>'2_Preprocessed'!$D47</f>
        <v>-0.56497346758606415</v>
      </c>
      <c r="K42" s="8">
        <f>'2_Preprocessed'!$D48</f>
        <v>-0.81766990171785114</v>
      </c>
      <c r="L42" s="8">
        <f>'2_Preprocessed'!$D49</f>
        <v>-0.5273876174847536</v>
      </c>
      <c r="M42" s="8">
        <f>'2_Preprocessed'!$D50</f>
        <v>-0.50265191447935864</v>
      </c>
      <c r="N42" s="8">
        <f>'2_Preprocessed'!$D51</f>
        <v>-0.50265191447935864</v>
      </c>
      <c r="O42" s="8">
        <f>'2_Preprocessed'!$D52</f>
        <v>-5.4756035133188379E-2</v>
      </c>
      <c r="P42" s="8">
        <f>'2_Preprocessed'!$D53</f>
        <v>-6.4996856895578492E-2</v>
      </c>
      <c r="Q42" s="8">
        <f>'2_Preprocessed'!$D54</f>
        <v>-0.12737214146640555</v>
      </c>
      <c r="R42" s="9">
        <f t="shared" si="0"/>
        <v>1.5556667663100829</v>
      </c>
    </row>
    <row r="43" spans="1:18">
      <c r="A43" s="7">
        <f t="shared" si="1"/>
        <v>42</v>
      </c>
      <c r="B43" s="7">
        <f t="shared" si="2"/>
        <v>53</v>
      </c>
      <c r="C43" s="7" t="str">
        <f>'1_RawData'!A43</f>
        <v>1952-06</v>
      </c>
      <c r="D43" s="7" t="str">
        <f>'1_RawData'!A54</f>
        <v>1953-05</v>
      </c>
      <c r="E43" s="8">
        <f>'2_Preprocessed'!$D43</f>
        <v>-0.24609324191803478</v>
      </c>
      <c r="F43" s="8">
        <f>'2_Preprocessed'!$D44</f>
        <v>-0.11686358496531957</v>
      </c>
      <c r="G43" s="8">
        <f>'2_Preprocessed'!$D45</f>
        <v>5.7921634386639814E-3</v>
      </c>
      <c r="H43" s="8">
        <f>'2_Preprocessed'!$D46</f>
        <v>-0.34777288682773144</v>
      </c>
      <c r="I43" s="8">
        <f>'2_Preprocessed'!$D47</f>
        <v>-0.56497346758606415</v>
      </c>
      <c r="J43" s="8">
        <f>'2_Preprocessed'!$D48</f>
        <v>-0.81766990171785114</v>
      </c>
      <c r="K43" s="8">
        <f>'2_Preprocessed'!$D49</f>
        <v>-0.5273876174847536</v>
      </c>
      <c r="L43" s="8">
        <f>'2_Preprocessed'!$D50</f>
        <v>-0.50265191447935864</v>
      </c>
      <c r="M43" s="8">
        <f>'2_Preprocessed'!$D51</f>
        <v>-0.50265191447935864</v>
      </c>
      <c r="N43" s="8">
        <f>'2_Preprocessed'!$D52</f>
        <v>-5.4756035133188379E-2</v>
      </c>
      <c r="O43" s="8">
        <f>'2_Preprocessed'!$D53</f>
        <v>-6.4996856895578492E-2</v>
      </c>
      <c r="P43" s="8">
        <f>'2_Preprocessed'!$D54</f>
        <v>-0.12737214146640555</v>
      </c>
      <c r="Q43" s="8">
        <f>'2_Preprocessed'!$D55</f>
        <v>1.5737373000943165E-2</v>
      </c>
      <c r="R43" s="9">
        <f t="shared" si="0"/>
        <v>1.4106309471216396</v>
      </c>
    </row>
    <row r="44" spans="1:18">
      <c r="A44" s="7">
        <f t="shared" si="1"/>
        <v>43</v>
      </c>
      <c r="B44" s="7">
        <f t="shared" si="2"/>
        <v>54</v>
      </c>
      <c r="C44" s="7" t="str">
        <f>'1_RawData'!A44</f>
        <v>1952-07</v>
      </c>
      <c r="D44" s="7" t="str">
        <f>'1_RawData'!A55</f>
        <v>1953-06</v>
      </c>
      <c r="E44" s="8">
        <f>'2_Preprocessed'!$D44</f>
        <v>-0.11686358496531957</v>
      </c>
      <c r="F44" s="8">
        <f>'2_Preprocessed'!$D45</f>
        <v>5.7921634386639814E-3</v>
      </c>
      <c r="G44" s="8">
        <f>'2_Preprocessed'!$D46</f>
        <v>-0.34777288682773144</v>
      </c>
      <c r="H44" s="8">
        <f>'2_Preprocessed'!$D47</f>
        <v>-0.56497346758606415</v>
      </c>
      <c r="I44" s="8">
        <f>'2_Preprocessed'!$D48</f>
        <v>-0.81766990171785114</v>
      </c>
      <c r="J44" s="8">
        <f>'2_Preprocessed'!$D49</f>
        <v>-0.5273876174847536</v>
      </c>
      <c r="K44" s="8">
        <f>'2_Preprocessed'!$D50</f>
        <v>-0.50265191447935864</v>
      </c>
      <c r="L44" s="8">
        <f>'2_Preprocessed'!$D51</f>
        <v>-0.50265191447935864</v>
      </c>
      <c r="M44" s="8">
        <f>'2_Preprocessed'!$D52</f>
        <v>-5.4756035133188379E-2</v>
      </c>
      <c r="N44" s="8">
        <f>'2_Preprocessed'!$D53</f>
        <v>-6.4996856895578492E-2</v>
      </c>
      <c r="O44" s="8">
        <f>'2_Preprocessed'!$D54</f>
        <v>-0.12737214146640555</v>
      </c>
      <c r="P44" s="8">
        <f>'2_Preprocessed'!$D55</f>
        <v>1.5737373000943165E-2</v>
      </c>
      <c r="Q44" s="8">
        <f>'2_Preprocessed'!$D56</f>
        <v>0.21563836284606777</v>
      </c>
      <c r="R44" s="9">
        <f t="shared" si="0"/>
        <v>1.3890879922339465</v>
      </c>
    </row>
    <row r="45" spans="1:18">
      <c r="A45" s="7">
        <f t="shared" si="1"/>
        <v>44</v>
      </c>
      <c r="B45" s="7">
        <f t="shared" si="2"/>
        <v>55</v>
      </c>
      <c r="C45" s="7" t="str">
        <f>'1_RawData'!A45</f>
        <v>1952-08</v>
      </c>
      <c r="D45" s="7" t="str">
        <f>'1_RawData'!A56</f>
        <v>1953-07</v>
      </c>
      <c r="E45" s="8">
        <f>'2_Preprocessed'!$D45</f>
        <v>5.7921634386639814E-3</v>
      </c>
      <c r="F45" s="8">
        <f>'2_Preprocessed'!$D46</f>
        <v>-0.34777288682773144</v>
      </c>
      <c r="G45" s="8">
        <f>'2_Preprocessed'!$D47</f>
        <v>-0.56497346758606415</v>
      </c>
      <c r="H45" s="8">
        <f>'2_Preprocessed'!$D48</f>
        <v>-0.81766990171785114</v>
      </c>
      <c r="I45" s="8">
        <f>'2_Preprocessed'!$D49</f>
        <v>-0.5273876174847536</v>
      </c>
      <c r="J45" s="8">
        <f>'2_Preprocessed'!$D50</f>
        <v>-0.50265191447935864</v>
      </c>
      <c r="K45" s="8">
        <f>'2_Preprocessed'!$D51</f>
        <v>-0.50265191447935864</v>
      </c>
      <c r="L45" s="8">
        <f>'2_Preprocessed'!$D52</f>
        <v>-5.4756035133188379E-2</v>
      </c>
      <c r="M45" s="8">
        <f>'2_Preprocessed'!$D53</f>
        <v>-6.4996856895578492E-2</v>
      </c>
      <c r="N45" s="8">
        <f>'2_Preprocessed'!$D54</f>
        <v>-0.12737214146640555</v>
      </c>
      <c r="O45" s="8">
        <f>'2_Preprocessed'!$D55</f>
        <v>1.5737373000943165E-2</v>
      </c>
      <c r="P45" s="8">
        <f>'2_Preprocessed'!$D56</f>
        <v>0.21563836284606777</v>
      </c>
      <c r="Q45" s="8">
        <f>'2_Preprocessed'!$D57</f>
        <v>0.28763504965584735</v>
      </c>
      <c r="R45" s="9">
        <f t="shared" si="0"/>
        <v>1.400859827466161</v>
      </c>
    </row>
    <row r="46" spans="1:18">
      <c r="A46" s="7">
        <f t="shared" si="1"/>
        <v>45</v>
      </c>
      <c r="B46" s="7">
        <f t="shared" si="2"/>
        <v>56</v>
      </c>
      <c r="C46" s="7" t="str">
        <f>'1_RawData'!A46</f>
        <v>1952-09</v>
      </c>
      <c r="D46" s="7" t="str">
        <f>'1_RawData'!A57</f>
        <v>1953-08</v>
      </c>
      <c r="E46" s="8">
        <f>'2_Preprocessed'!$D46</f>
        <v>-0.34777288682773144</v>
      </c>
      <c r="F46" s="8">
        <f>'2_Preprocessed'!$D47</f>
        <v>-0.56497346758606415</v>
      </c>
      <c r="G46" s="8">
        <f>'2_Preprocessed'!$D48</f>
        <v>-0.81766990171785114</v>
      </c>
      <c r="H46" s="8">
        <f>'2_Preprocessed'!$D49</f>
        <v>-0.5273876174847536</v>
      </c>
      <c r="I46" s="8">
        <f>'2_Preprocessed'!$D50</f>
        <v>-0.50265191447935864</v>
      </c>
      <c r="J46" s="8">
        <f>'2_Preprocessed'!$D51</f>
        <v>-0.50265191447935864</v>
      </c>
      <c r="K46" s="8">
        <f>'2_Preprocessed'!$D52</f>
        <v>-5.4756035133188379E-2</v>
      </c>
      <c r="L46" s="8">
        <f>'2_Preprocessed'!$D53</f>
        <v>-6.4996856895578492E-2</v>
      </c>
      <c r="M46" s="8">
        <f>'2_Preprocessed'!$D54</f>
        <v>-0.12737214146640555</v>
      </c>
      <c r="N46" s="8">
        <f>'2_Preprocessed'!$D55</f>
        <v>1.5737373000943165E-2</v>
      </c>
      <c r="O46" s="8">
        <f>'2_Preprocessed'!$D56</f>
        <v>0.21563836284606777</v>
      </c>
      <c r="P46" s="8">
        <f>'2_Preprocessed'!$D57</f>
        <v>0.28763504965584735</v>
      </c>
      <c r="Q46" s="8">
        <f>'2_Preprocessed'!$D58</f>
        <v>-4.455851507203791E-2</v>
      </c>
      <c r="R46" s="9">
        <f t="shared" si="0"/>
        <v>1.4300729452869683</v>
      </c>
    </row>
    <row r="47" spans="1:18">
      <c r="A47" s="7">
        <f t="shared" si="1"/>
        <v>46</v>
      </c>
      <c r="B47" s="7">
        <f t="shared" si="2"/>
        <v>57</v>
      </c>
      <c r="C47" s="7" t="str">
        <f>'1_RawData'!A47</f>
        <v>1952-10</v>
      </c>
      <c r="D47" s="7" t="str">
        <f>'1_RawData'!A58</f>
        <v>1953-09</v>
      </c>
      <c r="E47" s="8">
        <f>'2_Preprocessed'!$D47</f>
        <v>-0.56497346758606415</v>
      </c>
      <c r="F47" s="8">
        <f>'2_Preprocessed'!$D48</f>
        <v>-0.81766990171785114</v>
      </c>
      <c r="G47" s="8">
        <f>'2_Preprocessed'!$D49</f>
        <v>-0.5273876174847536</v>
      </c>
      <c r="H47" s="8">
        <f>'2_Preprocessed'!$D50</f>
        <v>-0.50265191447935864</v>
      </c>
      <c r="I47" s="8">
        <f>'2_Preprocessed'!$D51</f>
        <v>-0.50265191447935864</v>
      </c>
      <c r="J47" s="8">
        <f>'2_Preprocessed'!$D52</f>
        <v>-5.4756035133188379E-2</v>
      </c>
      <c r="K47" s="8">
        <f>'2_Preprocessed'!$D53</f>
        <v>-6.4996856895578492E-2</v>
      </c>
      <c r="L47" s="8">
        <f>'2_Preprocessed'!$D54</f>
        <v>-0.12737214146640555</v>
      </c>
      <c r="M47" s="8">
        <f>'2_Preprocessed'!$D55</f>
        <v>1.5737373000943165E-2</v>
      </c>
      <c r="N47" s="8">
        <f>'2_Preprocessed'!$D56</f>
        <v>0.21563836284606777</v>
      </c>
      <c r="O47" s="8">
        <f>'2_Preprocessed'!$D57</f>
        <v>0.28763504965584735</v>
      </c>
      <c r="P47" s="8">
        <f>'2_Preprocessed'!$D58</f>
        <v>-4.455851507203791E-2</v>
      </c>
      <c r="Q47" s="8">
        <f>'2_Preprocessed'!$D59</f>
        <v>-0.32480404748869124</v>
      </c>
      <c r="R47" s="9">
        <f t="shared" si="0"/>
        <v>1.3878573807472707</v>
      </c>
    </row>
    <row r="48" spans="1:18">
      <c r="A48" s="7">
        <f t="shared" si="1"/>
        <v>47</v>
      </c>
      <c r="B48" s="7">
        <f t="shared" si="2"/>
        <v>58</v>
      </c>
      <c r="C48" s="7" t="str">
        <f>'1_RawData'!A48</f>
        <v>1952-11</v>
      </c>
      <c r="D48" s="7" t="str">
        <f>'1_RawData'!A59</f>
        <v>1953-10</v>
      </c>
      <c r="E48" s="8">
        <f>'2_Preprocessed'!$D48</f>
        <v>-0.81766990171785114</v>
      </c>
      <c r="F48" s="8">
        <f>'2_Preprocessed'!$D49</f>
        <v>-0.5273876174847536</v>
      </c>
      <c r="G48" s="8">
        <f>'2_Preprocessed'!$D50</f>
        <v>-0.50265191447935864</v>
      </c>
      <c r="H48" s="8">
        <f>'2_Preprocessed'!$D51</f>
        <v>-0.50265191447935864</v>
      </c>
      <c r="I48" s="8">
        <f>'2_Preprocessed'!$D52</f>
        <v>-5.4756035133188379E-2</v>
      </c>
      <c r="J48" s="8">
        <f>'2_Preprocessed'!$D53</f>
        <v>-6.4996856895578492E-2</v>
      </c>
      <c r="K48" s="8">
        <f>'2_Preprocessed'!$D54</f>
        <v>-0.12737214146640555</v>
      </c>
      <c r="L48" s="8">
        <f>'2_Preprocessed'!$D55</f>
        <v>1.5737373000943165E-2</v>
      </c>
      <c r="M48" s="8">
        <f>'2_Preprocessed'!$D56</f>
        <v>0.21563836284606777</v>
      </c>
      <c r="N48" s="8">
        <f>'2_Preprocessed'!$D57</f>
        <v>0.28763504965584735</v>
      </c>
      <c r="O48" s="8">
        <f>'2_Preprocessed'!$D58</f>
        <v>-4.455851507203791E-2</v>
      </c>
      <c r="P48" s="8">
        <f>'2_Preprocessed'!$D59</f>
        <v>-0.32480404748869124</v>
      </c>
      <c r="Q48" s="8">
        <f>'2_Preprocessed'!$D60</f>
        <v>-0.70802784402254137</v>
      </c>
      <c r="R48" s="9">
        <f t="shared" si="0"/>
        <v>1.3086064188607243</v>
      </c>
    </row>
    <row r="49" spans="1:18">
      <c r="A49" s="7">
        <f t="shared" si="1"/>
        <v>48</v>
      </c>
      <c r="B49" s="7">
        <f t="shared" si="2"/>
        <v>59</v>
      </c>
      <c r="C49" s="7" t="str">
        <f>'1_RawData'!A49</f>
        <v>1952-12</v>
      </c>
      <c r="D49" s="7" t="str">
        <f>'1_RawData'!A60</f>
        <v>1953-11</v>
      </c>
      <c r="E49" s="8">
        <f>'2_Preprocessed'!$D49</f>
        <v>-0.5273876174847536</v>
      </c>
      <c r="F49" s="8">
        <f>'2_Preprocessed'!$D50</f>
        <v>-0.50265191447935864</v>
      </c>
      <c r="G49" s="8">
        <f>'2_Preprocessed'!$D51</f>
        <v>-0.50265191447935864</v>
      </c>
      <c r="H49" s="8">
        <f>'2_Preprocessed'!$D52</f>
        <v>-5.4756035133188379E-2</v>
      </c>
      <c r="I49" s="8">
        <f>'2_Preprocessed'!$D53</f>
        <v>-6.4996856895578492E-2</v>
      </c>
      <c r="J49" s="8">
        <f>'2_Preprocessed'!$D54</f>
        <v>-0.12737214146640555</v>
      </c>
      <c r="K49" s="8">
        <f>'2_Preprocessed'!$D55</f>
        <v>1.5737373000943165E-2</v>
      </c>
      <c r="L49" s="8">
        <f>'2_Preprocessed'!$D56</f>
        <v>0.21563836284606777</v>
      </c>
      <c r="M49" s="8">
        <f>'2_Preprocessed'!$D57</f>
        <v>0.28763504965584735</v>
      </c>
      <c r="N49" s="8">
        <f>'2_Preprocessed'!$D58</f>
        <v>-4.455851507203791E-2</v>
      </c>
      <c r="O49" s="8">
        <f>'2_Preprocessed'!$D59</f>
        <v>-0.32480404748869124</v>
      </c>
      <c r="P49" s="8">
        <f>'2_Preprocessed'!$D60</f>
        <v>-0.70802784402254137</v>
      </c>
      <c r="Q49" s="8">
        <f>'2_Preprocessed'!$D61</f>
        <v>-0.44190034196453754</v>
      </c>
      <c r="R49" s="9">
        <f t="shared" si="0"/>
        <v>1.2430487195679087</v>
      </c>
    </row>
    <row r="50" spans="1:18">
      <c r="A50" s="7">
        <f t="shared" si="1"/>
        <v>49</v>
      </c>
      <c r="B50" s="7">
        <f t="shared" si="2"/>
        <v>60</v>
      </c>
      <c r="C50" s="7" t="str">
        <f>'1_RawData'!A50</f>
        <v>1953-01</v>
      </c>
      <c r="D50" s="7" t="str">
        <f>'1_RawData'!A61</f>
        <v>1953-12</v>
      </c>
      <c r="E50" s="8">
        <f>'2_Preprocessed'!$D50</f>
        <v>-0.50265191447935864</v>
      </c>
      <c r="F50" s="8">
        <f>'2_Preprocessed'!$D51</f>
        <v>-0.50265191447935864</v>
      </c>
      <c r="G50" s="8">
        <f>'2_Preprocessed'!$D52</f>
        <v>-5.4756035133188379E-2</v>
      </c>
      <c r="H50" s="8">
        <f>'2_Preprocessed'!$D53</f>
        <v>-6.4996856895578492E-2</v>
      </c>
      <c r="I50" s="8">
        <f>'2_Preprocessed'!$D54</f>
        <v>-0.12737214146640555</v>
      </c>
      <c r="J50" s="8">
        <f>'2_Preprocessed'!$D55</f>
        <v>1.5737373000943165E-2</v>
      </c>
      <c r="K50" s="8">
        <f>'2_Preprocessed'!$D56</f>
        <v>0.21563836284606777</v>
      </c>
      <c r="L50" s="8">
        <f>'2_Preprocessed'!$D57</f>
        <v>0.28763504965584735</v>
      </c>
      <c r="M50" s="8">
        <f>'2_Preprocessed'!$D58</f>
        <v>-4.455851507203791E-2</v>
      </c>
      <c r="N50" s="8">
        <f>'2_Preprocessed'!$D59</f>
        <v>-0.32480404748869124</v>
      </c>
      <c r="O50" s="8">
        <f>'2_Preprocessed'!$D60</f>
        <v>-0.70802784402254137</v>
      </c>
      <c r="P50" s="8">
        <f>'2_Preprocessed'!$D61</f>
        <v>-0.44190034196453754</v>
      </c>
      <c r="Q50" s="8">
        <f>'2_Preprocessed'!$D62</f>
        <v>-0.40617065288862625</v>
      </c>
      <c r="R50" s="9">
        <f t="shared" si="0"/>
        <v>1.2092594148368443</v>
      </c>
    </row>
    <row r="51" spans="1:18">
      <c r="A51" s="7">
        <f t="shared" si="1"/>
        <v>50</v>
      </c>
      <c r="B51" s="7">
        <f t="shared" si="2"/>
        <v>61</v>
      </c>
      <c r="C51" s="7" t="str">
        <f>'1_RawData'!A51</f>
        <v>1953-02</v>
      </c>
      <c r="D51" s="7" t="str">
        <f>'1_RawData'!A62</f>
        <v>1954-01</v>
      </c>
      <c r="E51" s="8">
        <f>'2_Preprocessed'!$D51</f>
        <v>-0.50265191447935864</v>
      </c>
      <c r="F51" s="8">
        <f>'2_Preprocessed'!$D52</f>
        <v>-5.4756035133188379E-2</v>
      </c>
      <c r="G51" s="8">
        <f>'2_Preprocessed'!$D53</f>
        <v>-6.4996856895578492E-2</v>
      </c>
      <c r="H51" s="8">
        <f>'2_Preprocessed'!$D54</f>
        <v>-0.12737214146640555</v>
      </c>
      <c r="I51" s="8">
        <f>'2_Preprocessed'!$D55</f>
        <v>1.5737373000943165E-2</v>
      </c>
      <c r="J51" s="8">
        <f>'2_Preprocessed'!$D56</f>
        <v>0.21563836284606777</v>
      </c>
      <c r="K51" s="8">
        <f>'2_Preprocessed'!$D57</f>
        <v>0.28763504965584735</v>
      </c>
      <c r="L51" s="8">
        <f>'2_Preprocessed'!$D58</f>
        <v>-4.455851507203791E-2</v>
      </c>
      <c r="M51" s="8">
        <f>'2_Preprocessed'!$D59</f>
        <v>-0.32480404748869124</v>
      </c>
      <c r="N51" s="8">
        <f>'2_Preprocessed'!$D60</f>
        <v>-0.70802784402254137</v>
      </c>
      <c r="O51" s="8">
        <f>'2_Preprocessed'!$D61</f>
        <v>-0.44190034196453754</v>
      </c>
      <c r="P51" s="8">
        <f>'2_Preprocessed'!$D62</f>
        <v>-0.40617065288862625</v>
      </c>
      <c r="Q51" s="8">
        <f>'2_Preprocessed'!$D63</f>
        <v>-0.6031543690004495</v>
      </c>
      <c r="R51" s="9">
        <f t="shared" si="0"/>
        <v>1.172443595449161</v>
      </c>
    </row>
    <row r="52" spans="1:18">
      <c r="A52" s="7">
        <f t="shared" si="1"/>
        <v>51</v>
      </c>
      <c r="B52" s="7">
        <f t="shared" si="2"/>
        <v>62</v>
      </c>
      <c r="C52" s="7" t="str">
        <f>'1_RawData'!A52</f>
        <v>1953-03</v>
      </c>
      <c r="D52" s="7" t="str">
        <f>'1_RawData'!A63</f>
        <v>1954-02</v>
      </c>
      <c r="E52" s="8">
        <f>'2_Preprocessed'!$D52</f>
        <v>-5.4756035133188379E-2</v>
      </c>
      <c r="F52" s="8">
        <f>'2_Preprocessed'!$D53</f>
        <v>-6.4996856895578492E-2</v>
      </c>
      <c r="G52" s="8">
        <f>'2_Preprocessed'!$D54</f>
        <v>-0.12737214146640555</v>
      </c>
      <c r="H52" s="8">
        <f>'2_Preprocessed'!$D55</f>
        <v>1.5737373000943165E-2</v>
      </c>
      <c r="I52" s="8">
        <f>'2_Preprocessed'!$D56</f>
        <v>0.21563836284606777</v>
      </c>
      <c r="J52" s="8">
        <f>'2_Preprocessed'!$D57</f>
        <v>0.28763504965584735</v>
      </c>
      <c r="K52" s="8">
        <f>'2_Preprocessed'!$D58</f>
        <v>-4.455851507203791E-2</v>
      </c>
      <c r="L52" s="8">
        <f>'2_Preprocessed'!$D59</f>
        <v>-0.32480404748869124</v>
      </c>
      <c r="M52" s="8">
        <f>'2_Preprocessed'!$D60</f>
        <v>-0.70802784402254137</v>
      </c>
      <c r="N52" s="8">
        <f>'2_Preprocessed'!$D61</f>
        <v>-0.44190034196453754</v>
      </c>
      <c r="O52" s="8">
        <f>'2_Preprocessed'!$D62</f>
        <v>-0.40617065288862625</v>
      </c>
      <c r="P52" s="8">
        <f>'2_Preprocessed'!$D63</f>
        <v>-0.6031543690004495</v>
      </c>
      <c r="Q52" s="8">
        <f>'2_Preprocessed'!$D64</f>
        <v>-6.4996856895578492E-2</v>
      </c>
      <c r="R52" s="9">
        <f t="shared" si="0"/>
        <v>1.2189176470230965</v>
      </c>
    </row>
    <row r="53" spans="1:18">
      <c r="A53" s="7">
        <f t="shared" si="1"/>
        <v>52</v>
      </c>
      <c r="B53" s="7">
        <f t="shared" si="2"/>
        <v>63</v>
      </c>
      <c r="C53" s="7" t="str">
        <f>'1_RawData'!A53</f>
        <v>1953-04</v>
      </c>
      <c r="D53" s="7" t="str">
        <f>'1_RawData'!A64</f>
        <v>1954-03</v>
      </c>
      <c r="E53" s="8">
        <f>'2_Preprocessed'!$D53</f>
        <v>-6.4996856895578492E-2</v>
      </c>
      <c r="F53" s="8">
        <f>'2_Preprocessed'!$D54</f>
        <v>-0.12737214146640555</v>
      </c>
      <c r="G53" s="8">
        <f>'2_Preprocessed'!$D55</f>
        <v>1.5737373000943165E-2</v>
      </c>
      <c r="H53" s="8">
        <f>'2_Preprocessed'!$D56</f>
        <v>0.21563836284606777</v>
      </c>
      <c r="I53" s="8">
        <f>'2_Preprocessed'!$D57</f>
        <v>0.28763504965584735</v>
      </c>
      <c r="J53" s="8">
        <f>'2_Preprocessed'!$D58</f>
        <v>-4.455851507203791E-2</v>
      </c>
      <c r="K53" s="8">
        <f>'2_Preprocessed'!$D59</f>
        <v>-0.32480404748869124</v>
      </c>
      <c r="L53" s="8">
        <f>'2_Preprocessed'!$D60</f>
        <v>-0.70802784402254137</v>
      </c>
      <c r="M53" s="8">
        <f>'2_Preprocessed'!$D61</f>
        <v>-0.44190034196453754</v>
      </c>
      <c r="N53" s="8">
        <f>'2_Preprocessed'!$D62</f>
        <v>-0.40617065288862625</v>
      </c>
      <c r="O53" s="8">
        <f>'2_Preprocessed'!$D63</f>
        <v>-0.6031543690004495</v>
      </c>
      <c r="P53" s="8">
        <f>'2_Preprocessed'!$D64</f>
        <v>-6.4996856895578492E-2</v>
      </c>
      <c r="Q53" s="8">
        <f>'2_Preprocessed'!$D65</f>
        <v>-0.14852762713190565</v>
      </c>
      <c r="R53" s="9">
        <f t="shared" si="0"/>
        <v>1.2194205994024865</v>
      </c>
    </row>
    <row r="54" spans="1:18">
      <c r="A54" s="7">
        <f t="shared" si="1"/>
        <v>53</v>
      </c>
      <c r="B54" s="7">
        <f t="shared" si="2"/>
        <v>64</v>
      </c>
      <c r="C54" s="7" t="str">
        <f>'1_RawData'!A54</f>
        <v>1953-05</v>
      </c>
      <c r="D54" s="7" t="str">
        <f>'1_RawData'!A65</f>
        <v>1954-04</v>
      </c>
      <c r="E54" s="8">
        <f>'2_Preprocessed'!$D54</f>
        <v>-0.12737214146640555</v>
      </c>
      <c r="F54" s="8">
        <f>'2_Preprocessed'!$D55</f>
        <v>1.5737373000943165E-2</v>
      </c>
      <c r="G54" s="8">
        <f>'2_Preprocessed'!$D56</f>
        <v>0.21563836284606777</v>
      </c>
      <c r="H54" s="8">
        <f>'2_Preprocessed'!$D57</f>
        <v>0.28763504965584735</v>
      </c>
      <c r="I54" s="8">
        <f>'2_Preprocessed'!$D58</f>
        <v>-4.455851507203791E-2</v>
      </c>
      <c r="J54" s="8">
        <f>'2_Preprocessed'!$D59</f>
        <v>-0.32480404748869124</v>
      </c>
      <c r="K54" s="8">
        <f>'2_Preprocessed'!$D60</f>
        <v>-0.70802784402254137</v>
      </c>
      <c r="L54" s="8">
        <f>'2_Preprocessed'!$D61</f>
        <v>-0.44190034196453754</v>
      </c>
      <c r="M54" s="8">
        <f>'2_Preprocessed'!$D62</f>
        <v>-0.40617065288862625</v>
      </c>
      <c r="N54" s="8">
        <f>'2_Preprocessed'!$D63</f>
        <v>-0.6031543690004495</v>
      </c>
      <c r="O54" s="8">
        <f>'2_Preprocessed'!$D64</f>
        <v>-6.4996856895578492E-2</v>
      </c>
      <c r="P54" s="8">
        <f>'2_Preprocessed'!$D65</f>
        <v>-0.14852762713190565</v>
      </c>
      <c r="Q54" s="8">
        <f>'2_Preprocessed'!$D66</f>
        <v>-7.5281349671761699E-2</v>
      </c>
      <c r="R54" s="9">
        <f t="shared" si="0"/>
        <v>1.2267120537690372</v>
      </c>
    </row>
    <row r="55" spans="1:18">
      <c r="A55" s="7">
        <f t="shared" si="1"/>
        <v>54</v>
      </c>
      <c r="B55" s="7">
        <f t="shared" si="2"/>
        <v>65</v>
      </c>
      <c r="C55" s="7" t="str">
        <f>'1_RawData'!A55</f>
        <v>1953-06</v>
      </c>
      <c r="D55" s="7" t="str">
        <f>'1_RawData'!A66</f>
        <v>1954-05</v>
      </c>
      <c r="E55" s="8">
        <f>'2_Preprocessed'!$D55</f>
        <v>1.5737373000943165E-2</v>
      </c>
      <c r="F55" s="8">
        <f>'2_Preprocessed'!$D56</f>
        <v>0.21563836284606777</v>
      </c>
      <c r="G55" s="8">
        <f>'2_Preprocessed'!$D57</f>
        <v>0.28763504965584735</v>
      </c>
      <c r="H55" s="8">
        <f>'2_Preprocessed'!$D58</f>
        <v>-4.455851507203791E-2</v>
      </c>
      <c r="I55" s="8">
        <f>'2_Preprocessed'!$D59</f>
        <v>-0.32480404748869124</v>
      </c>
      <c r="J55" s="8">
        <f>'2_Preprocessed'!$D60</f>
        <v>-0.70802784402254137</v>
      </c>
      <c r="K55" s="8">
        <f>'2_Preprocessed'!$D61</f>
        <v>-0.44190034196453754</v>
      </c>
      <c r="L55" s="8">
        <f>'2_Preprocessed'!$D62</f>
        <v>-0.40617065288862625</v>
      </c>
      <c r="M55" s="8">
        <f>'2_Preprocessed'!$D63</f>
        <v>-0.6031543690004495</v>
      </c>
      <c r="N55" s="8">
        <f>'2_Preprocessed'!$D64</f>
        <v>-6.4996856895578492E-2</v>
      </c>
      <c r="O55" s="8">
        <f>'2_Preprocessed'!$D65</f>
        <v>-0.14852762713190565</v>
      </c>
      <c r="P55" s="8">
        <f>'2_Preprocessed'!$D66</f>
        <v>-7.5281349671761699E-2</v>
      </c>
      <c r="Q55" s="8">
        <f>'2_Preprocessed'!$D67</f>
        <v>0.21563836284606777</v>
      </c>
      <c r="R55" s="9">
        <f t="shared" si="0"/>
        <v>1.2224017678524985</v>
      </c>
    </row>
    <row r="56" spans="1:18">
      <c r="A56" s="7">
        <f t="shared" si="1"/>
        <v>55</v>
      </c>
      <c r="B56" s="7">
        <f t="shared" si="2"/>
        <v>66</v>
      </c>
      <c r="C56" s="7" t="str">
        <f>'1_RawData'!A56</f>
        <v>1953-07</v>
      </c>
      <c r="D56" s="7" t="str">
        <f>'1_RawData'!A67</f>
        <v>1954-06</v>
      </c>
      <c r="E56" s="8">
        <f>'2_Preprocessed'!$D56</f>
        <v>0.21563836284606777</v>
      </c>
      <c r="F56" s="8">
        <f>'2_Preprocessed'!$D57</f>
        <v>0.28763504965584735</v>
      </c>
      <c r="G56" s="8">
        <f>'2_Preprocessed'!$D58</f>
        <v>-4.455851507203791E-2</v>
      </c>
      <c r="H56" s="8">
        <f>'2_Preprocessed'!$D59</f>
        <v>-0.32480404748869124</v>
      </c>
      <c r="I56" s="8">
        <f>'2_Preprocessed'!$D60</f>
        <v>-0.70802784402254137</v>
      </c>
      <c r="J56" s="8">
        <f>'2_Preprocessed'!$D61</f>
        <v>-0.44190034196453754</v>
      </c>
      <c r="K56" s="8">
        <f>'2_Preprocessed'!$D62</f>
        <v>-0.40617065288862625</v>
      </c>
      <c r="L56" s="8">
        <f>'2_Preprocessed'!$D63</f>
        <v>-0.6031543690004495</v>
      </c>
      <c r="M56" s="8">
        <f>'2_Preprocessed'!$D64</f>
        <v>-6.4996856895578492E-2</v>
      </c>
      <c r="N56" s="8">
        <f>'2_Preprocessed'!$D65</f>
        <v>-0.14852762713190565</v>
      </c>
      <c r="O56" s="8">
        <f>'2_Preprocessed'!$D66</f>
        <v>-7.5281349671761699E-2</v>
      </c>
      <c r="P56" s="8">
        <f>'2_Preprocessed'!$D67</f>
        <v>0.21563836284606777</v>
      </c>
      <c r="Q56" s="8">
        <f>'2_Preprocessed'!$D68</f>
        <v>0.53996008009070218</v>
      </c>
      <c r="R56" s="9">
        <f t="shared" si="0"/>
        <v>1.2411761843795082</v>
      </c>
    </row>
    <row r="57" spans="1:18">
      <c r="A57" s="7">
        <f t="shared" si="1"/>
        <v>56</v>
      </c>
      <c r="B57" s="7">
        <f t="shared" si="2"/>
        <v>67</v>
      </c>
      <c r="C57" s="7" t="str">
        <f>'1_RawData'!A57</f>
        <v>1953-08</v>
      </c>
      <c r="D57" s="7" t="str">
        <f>'1_RawData'!A68</f>
        <v>1954-07</v>
      </c>
      <c r="E57" s="8">
        <f>'2_Preprocessed'!$D57</f>
        <v>0.28763504965584735</v>
      </c>
      <c r="F57" s="8">
        <f>'2_Preprocessed'!$D58</f>
        <v>-4.455851507203791E-2</v>
      </c>
      <c r="G57" s="8">
        <f>'2_Preprocessed'!$D59</f>
        <v>-0.32480404748869124</v>
      </c>
      <c r="H57" s="8">
        <f>'2_Preprocessed'!$D60</f>
        <v>-0.70802784402254137</v>
      </c>
      <c r="I57" s="8">
        <f>'2_Preprocessed'!$D61</f>
        <v>-0.44190034196453754</v>
      </c>
      <c r="J57" s="8">
        <f>'2_Preprocessed'!$D62</f>
        <v>-0.40617065288862625</v>
      </c>
      <c r="K57" s="8">
        <f>'2_Preprocessed'!$D63</f>
        <v>-0.6031543690004495</v>
      </c>
      <c r="L57" s="8">
        <f>'2_Preprocessed'!$D64</f>
        <v>-6.4996856895578492E-2</v>
      </c>
      <c r="M57" s="8">
        <f>'2_Preprocessed'!$D65</f>
        <v>-0.14852762713190565</v>
      </c>
      <c r="N57" s="8">
        <f>'2_Preprocessed'!$D66</f>
        <v>-7.5281349671761699E-2</v>
      </c>
      <c r="O57" s="8">
        <f>'2_Preprocessed'!$D67</f>
        <v>0.21563836284606777</v>
      </c>
      <c r="P57" s="8">
        <f>'2_Preprocessed'!$D68</f>
        <v>0.53996008009070218</v>
      </c>
      <c r="Q57" s="8">
        <f>'2_Preprocessed'!$D69</f>
        <v>0.4669952238976891</v>
      </c>
      <c r="R57" s="9">
        <f t="shared" si="0"/>
        <v>1.3362542068152676</v>
      </c>
    </row>
    <row r="58" spans="1:18">
      <c r="A58" s="7">
        <f t="shared" si="1"/>
        <v>57</v>
      </c>
      <c r="B58" s="7">
        <f t="shared" si="2"/>
        <v>68</v>
      </c>
      <c r="C58" s="7" t="str">
        <f>'1_RawData'!A58</f>
        <v>1953-09</v>
      </c>
      <c r="D58" s="7" t="str">
        <f>'1_RawData'!A69</f>
        <v>1954-08</v>
      </c>
      <c r="E58" s="8">
        <f>'2_Preprocessed'!$D58</f>
        <v>-4.455851507203791E-2</v>
      </c>
      <c r="F58" s="8">
        <f>'2_Preprocessed'!$D59</f>
        <v>-0.32480404748869124</v>
      </c>
      <c r="G58" s="8">
        <f>'2_Preprocessed'!$D60</f>
        <v>-0.70802784402254137</v>
      </c>
      <c r="H58" s="8">
        <f>'2_Preprocessed'!$D61</f>
        <v>-0.44190034196453754</v>
      </c>
      <c r="I58" s="8">
        <f>'2_Preprocessed'!$D62</f>
        <v>-0.40617065288862625</v>
      </c>
      <c r="J58" s="8">
        <f>'2_Preprocessed'!$D63</f>
        <v>-0.6031543690004495</v>
      </c>
      <c r="K58" s="8">
        <f>'2_Preprocessed'!$D64</f>
        <v>-6.4996856895578492E-2</v>
      </c>
      <c r="L58" s="8">
        <f>'2_Preprocessed'!$D65</f>
        <v>-0.14852762713190565</v>
      </c>
      <c r="M58" s="8">
        <f>'2_Preprocessed'!$D66</f>
        <v>-7.5281349671761699E-2</v>
      </c>
      <c r="N58" s="8">
        <f>'2_Preprocessed'!$D67</f>
        <v>0.21563836284606777</v>
      </c>
      <c r="O58" s="8">
        <f>'2_Preprocessed'!$D68</f>
        <v>0.53996008009070218</v>
      </c>
      <c r="P58" s="8">
        <f>'2_Preprocessed'!$D69</f>
        <v>0.4669952238976891</v>
      </c>
      <c r="Q58" s="8">
        <f>'2_Preprocessed'!$D70</f>
        <v>0.1695239578666341</v>
      </c>
      <c r="R58" s="9">
        <f t="shared" si="0"/>
        <v>1.3859747193164207</v>
      </c>
    </row>
    <row r="59" spans="1:18">
      <c r="A59" s="7">
        <f t="shared" si="1"/>
        <v>58</v>
      </c>
      <c r="B59" s="7">
        <f t="shared" si="2"/>
        <v>69</v>
      </c>
      <c r="C59" s="7" t="str">
        <f>'1_RawData'!A59</f>
        <v>1953-10</v>
      </c>
      <c r="D59" s="7" t="str">
        <f>'1_RawData'!A70</f>
        <v>1954-09</v>
      </c>
      <c r="E59" s="8">
        <f>'2_Preprocessed'!$D59</f>
        <v>-0.32480404748869124</v>
      </c>
      <c r="F59" s="8">
        <f>'2_Preprocessed'!$D60</f>
        <v>-0.70802784402254137</v>
      </c>
      <c r="G59" s="8">
        <f>'2_Preprocessed'!$D61</f>
        <v>-0.44190034196453754</v>
      </c>
      <c r="H59" s="8">
        <f>'2_Preprocessed'!$D62</f>
        <v>-0.40617065288862625</v>
      </c>
      <c r="I59" s="8">
        <f>'2_Preprocessed'!$D63</f>
        <v>-0.6031543690004495</v>
      </c>
      <c r="J59" s="8">
        <f>'2_Preprocessed'!$D64</f>
        <v>-6.4996856895578492E-2</v>
      </c>
      <c r="K59" s="8">
        <f>'2_Preprocessed'!$D65</f>
        <v>-0.14852762713190565</v>
      </c>
      <c r="L59" s="8">
        <f>'2_Preprocessed'!$D66</f>
        <v>-7.5281349671761699E-2</v>
      </c>
      <c r="M59" s="8">
        <f>'2_Preprocessed'!$D67</f>
        <v>0.21563836284606777</v>
      </c>
      <c r="N59" s="8">
        <f>'2_Preprocessed'!$D68</f>
        <v>0.53996008009070218</v>
      </c>
      <c r="O59" s="8">
        <f>'2_Preprocessed'!$D69</f>
        <v>0.4669952238976891</v>
      </c>
      <c r="P59" s="8">
        <f>'2_Preprocessed'!$D70</f>
        <v>0.1695239578666341</v>
      </c>
      <c r="Q59" s="8">
        <f>'2_Preprocessed'!$D71</f>
        <v>-0.12737214146640555</v>
      </c>
      <c r="R59" s="9">
        <f t="shared" si="0"/>
        <v>1.3955926460144359</v>
      </c>
    </row>
    <row r="60" spans="1:18">
      <c r="A60" s="7">
        <f t="shared" si="1"/>
        <v>59</v>
      </c>
      <c r="B60" s="7">
        <f t="shared" si="2"/>
        <v>70</v>
      </c>
      <c r="C60" s="7" t="str">
        <f>'1_RawData'!A60</f>
        <v>1953-11</v>
      </c>
      <c r="D60" s="7" t="str">
        <f>'1_RawData'!A71</f>
        <v>1954-10</v>
      </c>
      <c r="E60" s="8">
        <f>'2_Preprocessed'!$D60</f>
        <v>-0.70802784402254137</v>
      </c>
      <c r="F60" s="8">
        <f>'2_Preprocessed'!$D61</f>
        <v>-0.44190034196453754</v>
      </c>
      <c r="G60" s="8">
        <f>'2_Preprocessed'!$D62</f>
        <v>-0.40617065288862625</v>
      </c>
      <c r="H60" s="8">
        <f>'2_Preprocessed'!$D63</f>
        <v>-0.6031543690004495</v>
      </c>
      <c r="I60" s="8">
        <f>'2_Preprocessed'!$D64</f>
        <v>-6.4996856895578492E-2</v>
      </c>
      <c r="J60" s="8">
        <f>'2_Preprocessed'!$D65</f>
        <v>-0.14852762713190565</v>
      </c>
      <c r="K60" s="8">
        <f>'2_Preprocessed'!$D66</f>
        <v>-7.5281349671761699E-2</v>
      </c>
      <c r="L60" s="8">
        <f>'2_Preprocessed'!$D67</f>
        <v>0.21563836284606777</v>
      </c>
      <c r="M60" s="8">
        <f>'2_Preprocessed'!$D68</f>
        <v>0.53996008009070218</v>
      </c>
      <c r="N60" s="8">
        <f>'2_Preprocessed'!$D69</f>
        <v>0.4669952238976891</v>
      </c>
      <c r="O60" s="8">
        <f>'2_Preprocessed'!$D70</f>
        <v>0.1695239578666341</v>
      </c>
      <c r="P60" s="8">
        <f>'2_Preprocessed'!$D71</f>
        <v>-0.12737214146640555</v>
      </c>
      <c r="Q60" s="8">
        <f>'2_Preprocessed'!$D72</f>
        <v>-0.41802183104253982</v>
      </c>
      <c r="R60" s="9">
        <f t="shared" si="0"/>
        <v>1.3632332253749821</v>
      </c>
    </row>
    <row r="61" spans="1:18">
      <c r="A61" s="7">
        <f t="shared" si="1"/>
        <v>60</v>
      </c>
      <c r="B61" s="7">
        <f t="shared" si="2"/>
        <v>71</v>
      </c>
      <c r="C61" s="7" t="str">
        <f>'1_RawData'!A61</f>
        <v>1953-12</v>
      </c>
      <c r="D61" s="7" t="str">
        <f>'1_RawData'!A72</f>
        <v>1954-11</v>
      </c>
      <c r="E61" s="8">
        <f>'2_Preprocessed'!$D61</f>
        <v>-0.44190034196453754</v>
      </c>
      <c r="F61" s="8">
        <f>'2_Preprocessed'!$D62</f>
        <v>-0.40617065288862625</v>
      </c>
      <c r="G61" s="8">
        <f>'2_Preprocessed'!$D63</f>
        <v>-0.6031543690004495</v>
      </c>
      <c r="H61" s="8">
        <f>'2_Preprocessed'!$D64</f>
        <v>-6.4996856895578492E-2</v>
      </c>
      <c r="I61" s="8">
        <f>'2_Preprocessed'!$D65</f>
        <v>-0.14852762713190565</v>
      </c>
      <c r="J61" s="8">
        <f>'2_Preprocessed'!$D66</f>
        <v>-7.5281349671761699E-2</v>
      </c>
      <c r="K61" s="8">
        <f>'2_Preprocessed'!$D67</f>
        <v>0.21563836284606777</v>
      </c>
      <c r="L61" s="8">
        <f>'2_Preprocessed'!$D68</f>
        <v>0.53996008009070218</v>
      </c>
      <c r="M61" s="8">
        <f>'2_Preprocessed'!$D69</f>
        <v>0.4669952238976891</v>
      </c>
      <c r="N61" s="8">
        <f>'2_Preprocessed'!$D70</f>
        <v>0.1695239578666341</v>
      </c>
      <c r="O61" s="8">
        <f>'2_Preprocessed'!$D71</f>
        <v>-0.12737214146640555</v>
      </c>
      <c r="P61" s="8">
        <f>'2_Preprocessed'!$D72</f>
        <v>-0.41802183104253982</v>
      </c>
      <c r="Q61" s="8">
        <f>'2_Preprocessed'!$D73</f>
        <v>-0.12737214146640555</v>
      </c>
      <c r="R61" s="9">
        <f t="shared" si="0"/>
        <v>1.2376767146889474</v>
      </c>
    </row>
    <row r="62" spans="1:18">
      <c r="A62" s="7">
        <f t="shared" si="1"/>
        <v>61</v>
      </c>
      <c r="B62" s="7">
        <f t="shared" si="2"/>
        <v>72</v>
      </c>
      <c r="C62" s="7" t="str">
        <f>'1_RawData'!A62</f>
        <v>1954-01</v>
      </c>
      <c r="D62" s="7" t="str">
        <f>'1_RawData'!A73</f>
        <v>1954-12</v>
      </c>
      <c r="E62" s="8">
        <f>'2_Preprocessed'!$D62</f>
        <v>-0.40617065288862625</v>
      </c>
      <c r="F62" s="8">
        <f>'2_Preprocessed'!$D63</f>
        <v>-0.6031543690004495</v>
      </c>
      <c r="G62" s="8">
        <f>'2_Preprocessed'!$D64</f>
        <v>-6.4996856895578492E-2</v>
      </c>
      <c r="H62" s="8">
        <f>'2_Preprocessed'!$D65</f>
        <v>-0.14852762713190565</v>
      </c>
      <c r="I62" s="8">
        <f>'2_Preprocessed'!$D66</f>
        <v>-7.5281349671761699E-2</v>
      </c>
      <c r="J62" s="8">
        <f>'2_Preprocessed'!$D67</f>
        <v>0.21563836284606777</v>
      </c>
      <c r="K62" s="8">
        <f>'2_Preprocessed'!$D68</f>
        <v>0.53996008009070218</v>
      </c>
      <c r="L62" s="8">
        <f>'2_Preprocessed'!$D69</f>
        <v>0.4669952238976891</v>
      </c>
      <c r="M62" s="8">
        <f>'2_Preprocessed'!$D70</f>
        <v>0.1695239578666341</v>
      </c>
      <c r="N62" s="8">
        <f>'2_Preprocessed'!$D71</f>
        <v>-0.12737214146640555</v>
      </c>
      <c r="O62" s="8">
        <f>'2_Preprocessed'!$D72</f>
        <v>-0.41802183104253982</v>
      </c>
      <c r="P62" s="8">
        <f>'2_Preprocessed'!$D73</f>
        <v>-0.12737214146640555</v>
      </c>
      <c r="Q62" s="8">
        <f>'2_Preprocessed'!$D74</f>
        <v>5.7921634386639814E-3</v>
      </c>
      <c r="R62" s="9">
        <f t="shared" si="0"/>
        <v>1.1630956109781296</v>
      </c>
    </row>
    <row r="63" spans="1:18">
      <c r="A63" s="7">
        <f t="shared" si="1"/>
        <v>62</v>
      </c>
      <c r="B63" s="7">
        <f t="shared" si="2"/>
        <v>73</v>
      </c>
      <c r="C63" s="7" t="str">
        <f>'1_RawData'!A63</f>
        <v>1954-02</v>
      </c>
      <c r="D63" s="7" t="str">
        <f>'1_RawData'!A74</f>
        <v>1955-01</v>
      </c>
      <c r="E63" s="8">
        <f>'2_Preprocessed'!$D63</f>
        <v>-0.6031543690004495</v>
      </c>
      <c r="F63" s="8">
        <f>'2_Preprocessed'!$D64</f>
        <v>-6.4996856895578492E-2</v>
      </c>
      <c r="G63" s="8">
        <f>'2_Preprocessed'!$D65</f>
        <v>-0.14852762713190565</v>
      </c>
      <c r="H63" s="8">
        <f>'2_Preprocessed'!$D66</f>
        <v>-7.5281349671761699E-2</v>
      </c>
      <c r="I63" s="8">
        <f>'2_Preprocessed'!$D67</f>
        <v>0.21563836284606777</v>
      </c>
      <c r="J63" s="8">
        <f>'2_Preprocessed'!$D68</f>
        <v>0.53996008009070218</v>
      </c>
      <c r="K63" s="8">
        <f>'2_Preprocessed'!$D69</f>
        <v>0.4669952238976891</v>
      </c>
      <c r="L63" s="8">
        <f>'2_Preprocessed'!$D70</f>
        <v>0.1695239578666341</v>
      </c>
      <c r="M63" s="8">
        <f>'2_Preprocessed'!$D71</f>
        <v>-0.12737214146640555</v>
      </c>
      <c r="N63" s="8">
        <f>'2_Preprocessed'!$D72</f>
        <v>-0.41802183104253982</v>
      </c>
      <c r="O63" s="8">
        <f>'2_Preprocessed'!$D73</f>
        <v>-0.12737214146640555</v>
      </c>
      <c r="P63" s="8">
        <f>'2_Preprocessed'!$D74</f>
        <v>5.7921634386639814E-3</v>
      </c>
      <c r="Q63" s="8">
        <f>'2_Preprocessed'!$D75</f>
        <v>-8.5609887519242714E-2</v>
      </c>
      <c r="R63" s="9">
        <f t="shared" si="0"/>
        <v>1.0898854757110565</v>
      </c>
    </row>
    <row r="64" spans="1:18">
      <c r="A64" s="7">
        <f t="shared" si="1"/>
        <v>63</v>
      </c>
      <c r="B64" s="7">
        <f t="shared" si="2"/>
        <v>74</v>
      </c>
      <c r="C64" s="7" t="str">
        <f>'1_RawData'!A64</f>
        <v>1954-03</v>
      </c>
      <c r="D64" s="7" t="str">
        <f>'1_RawData'!A75</f>
        <v>1955-02</v>
      </c>
      <c r="E64" s="8">
        <f>'2_Preprocessed'!$D64</f>
        <v>-6.4996856895578492E-2</v>
      </c>
      <c r="F64" s="8">
        <f>'2_Preprocessed'!$D65</f>
        <v>-0.14852762713190565</v>
      </c>
      <c r="G64" s="8">
        <f>'2_Preprocessed'!$D66</f>
        <v>-7.5281349671761699E-2</v>
      </c>
      <c r="H64" s="8">
        <f>'2_Preprocessed'!$D67</f>
        <v>0.21563836284606777</v>
      </c>
      <c r="I64" s="8">
        <f>'2_Preprocessed'!$D68</f>
        <v>0.53996008009070218</v>
      </c>
      <c r="J64" s="8">
        <f>'2_Preprocessed'!$D69</f>
        <v>0.4669952238976891</v>
      </c>
      <c r="K64" s="8">
        <f>'2_Preprocessed'!$D70</f>
        <v>0.1695239578666341</v>
      </c>
      <c r="L64" s="8">
        <f>'2_Preprocessed'!$D71</f>
        <v>-0.12737214146640555</v>
      </c>
      <c r="M64" s="8">
        <f>'2_Preprocessed'!$D72</f>
        <v>-0.41802183104253982</v>
      </c>
      <c r="N64" s="8">
        <f>'2_Preprocessed'!$D73</f>
        <v>-0.12737214146640555</v>
      </c>
      <c r="O64" s="8">
        <f>'2_Preprocessed'!$D74</f>
        <v>5.7921634386639814E-3</v>
      </c>
      <c r="P64" s="8">
        <f>'2_Preprocessed'!$D75</f>
        <v>-8.5609887519242714E-2</v>
      </c>
      <c r="Q64" s="8">
        <f>'2_Preprocessed'!$D76</f>
        <v>0.24288961213171645</v>
      </c>
      <c r="R64" s="9">
        <f t="shared" si="0"/>
        <v>0.91180272546348706</v>
      </c>
    </row>
    <row r="65" spans="1:18">
      <c r="A65" s="7">
        <f t="shared" si="1"/>
        <v>64</v>
      </c>
      <c r="B65" s="7">
        <f t="shared" si="2"/>
        <v>75</v>
      </c>
      <c r="C65" s="7" t="str">
        <f>'1_RawData'!A65</f>
        <v>1954-04</v>
      </c>
      <c r="D65" s="7" t="str">
        <f>'1_RawData'!A76</f>
        <v>1955-03</v>
      </c>
      <c r="E65" s="8">
        <f>'2_Preprocessed'!$D65</f>
        <v>-0.14852762713190565</v>
      </c>
      <c r="F65" s="8">
        <f>'2_Preprocessed'!$D66</f>
        <v>-7.5281349671761699E-2</v>
      </c>
      <c r="G65" s="8">
        <f>'2_Preprocessed'!$D67</f>
        <v>0.21563836284606777</v>
      </c>
      <c r="H65" s="8">
        <f>'2_Preprocessed'!$D68</f>
        <v>0.53996008009070218</v>
      </c>
      <c r="I65" s="8">
        <f>'2_Preprocessed'!$D69</f>
        <v>0.4669952238976891</v>
      </c>
      <c r="J65" s="8">
        <f>'2_Preprocessed'!$D70</f>
        <v>0.1695239578666341</v>
      </c>
      <c r="K65" s="8">
        <f>'2_Preprocessed'!$D71</f>
        <v>-0.12737214146640555</v>
      </c>
      <c r="L65" s="8">
        <f>'2_Preprocessed'!$D72</f>
        <v>-0.41802183104253982</v>
      </c>
      <c r="M65" s="8">
        <f>'2_Preprocessed'!$D73</f>
        <v>-0.12737214146640555</v>
      </c>
      <c r="N65" s="8">
        <f>'2_Preprocessed'!$D74</f>
        <v>5.7921634386639814E-3</v>
      </c>
      <c r="O65" s="8">
        <f>'2_Preprocessed'!$D75</f>
        <v>-8.5609887519242714E-2</v>
      </c>
      <c r="P65" s="8">
        <f>'2_Preprocessed'!$D76</f>
        <v>0.24288961213171645</v>
      </c>
      <c r="Q65" s="8">
        <f>'2_Preprocessed'!$D77</f>
        <v>0.26088753074386811</v>
      </c>
      <c r="R65" s="9">
        <f t="shared" si="0"/>
        <v>0.94135805219790536</v>
      </c>
    </row>
    <row r="66" spans="1:18">
      <c r="A66" s="7">
        <f t="shared" si="1"/>
        <v>65</v>
      </c>
      <c r="B66" s="7">
        <f t="shared" si="2"/>
        <v>76</v>
      </c>
      <c r="C66" s="7" t="str">
        <f>'1_RawData'!A66</f>
        <v>1954-05</v>
      </c>
      <c r="D66" s="7" t="str">
        <f>'1_RawData'!A77</f>
        <v>1955-04</v>
      </c>
      <c r="E66" s="8">
        <f>'2_Preprocessed'!$D66</f>
        <v>-7.5281349671761699E-2</v>
      </c>
      <c r="F66" s="8">
        <f>'2_Preprocessed'!$D67</f>
        <v>0.21563836284606777</v>
      </c>
      <c r="G66" s="8">
        <f>'2_Preprocessed'!$D68</f>
        <v>0.53996008009070218</v>
      </c>
      <c r="H66" s="8">
        <f>'2_Preprocessed'!$D69</f>
        <v>0.4669952238976891</v>
      </c>
      <c r="I66" s="8">
        <f>'2_Preprocessed'!$D70</f>
        <v>0.1695239578666341</v>
      </c>
      <c r="J66" s="8">
        <f>'2_Preprocessed'!$D71</f>
        <v>-0.12737214146640555</v>
      </c>
      <c r="K66" s="8">
        <f>'2_Preprocessed'!$D72</f>
        <v>-0.41802183104253982</v>
      </c>
      <c r="L66" s="8">
        <f>'2_Preprocessed'!$D73</f>
        <v>-0.12737214146640555</v>
      </c>
      <c r="M66" s="8">
        <f>'2_Preprocessed'!$D74</f>
        <v>5.7921634386639814E-3</v>
      </c>
      <c r="N66" s="8">
        <f>'2_Preprocessed'!$D75</f>
        <v>-8.5609887519242714E-2</v>
      </c>
      <c r="O66" s="8">
        <f>'2_Preprocessed'!$D76</f>
        <v>0.24288961213171645</v>
      </c>
      <c r="P66" s="8">
        <f>'2_Preprocessed'!$D77</f>
        <v>0.26088753074386811</v>
      </c>
      <c r="Q66" s="8">
        <f>'2_Preprocessed'!$D78</f>
        <v>0.26983637181387321</v>
      </c>
      <c r="R66" s="9">
        <f t="shared" si="0"/>
        <v>0.9654826928091631</v>
      </c>
    </row>
    <row r="67" spans="1:18">
      <c r="A67" s="7">
        <f t="shared" si="1"/>
        <v>66</v>
      </c>
      <c r="B67" s="7">
        <f t="shared" si="2"/>
        <v>77</v>
      </c>
      <c r="C67" s="7" t="str">
        <f>'1_RawData'!A67</f>
        <v>1954-06</v>
      </c>
      <c r="D67" s="7" t="str">
        <f>'1_RawData'!A78</f>
        <v>1955-05</v>
      </c>
      <c r="E67" s="8">
        <f>'2_Preprocessed'!$D67</f>
        <v>0.21563836284606777</v>
      </c>
      <c r="F67" s="8">
        <f>'2_Preprocessed'!$D68</f>
        <v>0.53996008009070218</v>
      </c>
      <c r="G67" s="8">
        <f>'2_Preprocessed'!$D69</f>
        <v>0.4669952238976891</v>
      </c>
      <c r="H67" s="8">
        <f>'2_Preprocessed'!$D70</f>
        <v>0.1695239578666341</v>
      </c>
      <c r="I67" s="8">
        <f>'2_Preprocessed'!$D71</f>
        <v>-0.12737214146640555</v>
      </c>
      <c r="J67" s="8">
        <f>'2_Preprocessed'!$D72</f>
        <v>-0.41802183104253982</v>
      </c>
      <c r="K67" s="8">
        <f>'2_Preprocessed'!$D73</f>
        <v>-0.12737214146640555</v>
      </c>
      <c r="L67" s="8">
        <f>'2_Preprocessed'!$D74</f>
        <v>5.7921634386639814E-3</v>
      </c>
      <c r="M67" s="8">
        <f>'2_Preprocessed'!$D75</f>
        <v>-8.5609887519242714E-2</v>
      </c>
      <c r="N67" s="8">
        <f>'2_Preprocessed'!$D76</f>
        <v>0.24288961213171645</v>
      </c>
      <c r="O67" s="8">
        <f>'2_Preprocessed'!$D77</f>
        <v>0.26088753074386811</v>
      </c>
      <c r="P67" s="8">
        <f>'2_Preprocessed'!$D78</f>
        <v>0.26983637181387321</v>
      </c>
      <c r="Q67" s="8">
        <f>'2_Preprocessed'!$D79</f>
        <v>0.64160309263790005</v>
      </c>
      <c r="R67" s="9">
        <f t="shared" ref="R67:R121" si="3">SQRT(SUMSQ(E67:P67))</f>
        <v>0.99965054697094302</v>
      </c>
    </row>
    <row r="68" spans="1:18">
      <c r="A68" s="7">
        <f t="shared" ref="A68:A121" si="4">A67+1</f>
        <v>67</v>
      </c>
      <c r="B68" s="7">
        <f t="shared" ref="B68:B121" si="5">B67+1</f>
        <v>78</v>
      </c>
      <c r="C68" s="7" t="str">
        <f>'1_RawData'!A68</f>
        <v>1954-07</v>
      </c>
      <c r="D68" s="7" t="str">
        <f>'1_RawData'!A79</f>
        <v>1955-06</v>
      </c>
      <c r="E68" s="8">
        <f>'2_Preprocessed'!$D68</f>
        <v>0.53996008009070218</v>
      </c>
      <c r="F68" s="8">
        <f>'2_Preprocessed'!$D69</f>
        <v>0.4669952238976891</v>
      </c>
      <c r="G68" s="8">
        <f>'2_Preprocessed'!$D70</f>
        <v>0.1695239578666341</v>
      </c>
      <c r="H68" s="8">
        <f>'2_Preprocessed'!$D71</f>
        <v>-0.12737214146640555</v>
      </c>
      <c r="I68" s="8">
        <f>'2_Preprocessed'!$D72</f>
        <v>-0.41802183104253982</v>
      </c>
      <c r="J68" s="8">
        <f>'2_Preprocessed'!$D73</f>
        <v>-0.12737214146640555</v>
      </c>
      <c r="K68" s="8">
        <f>'2_Preprocessed'!$D74</f>
        <v>5.7921634386639814E-3</v>
      </c>
      <c r="L68" s="8">
        <f>'2_Preprocessed'!$D75</f>
        <v>-8.5609887519242714E-2</v>
      </c>
      <c r="M68" s="8">
        <f>'2_Preprocessed'!$D76</f>
        <v>0.24288961213171645</v>
      </c>
      <c r="N68" s="8">
        <f>'2_Preprocessed'!$D77</f>
        <v>0.26088753074386811</v>
      </c>
      <c r="O68" s="8">
        <f>'2_Preprocessed'!$D78</f>
        <v>0.26983637181387321</v>
      </c>
      <c r="P68" s="8">
        <f>'2_Preprocessed'!$D79</f>
        <v>0.64160309263790005</v>
      </c>
      <c r="Q68" s="8">
        <f>'2_Preprocessed'!$D80</f>
        <v>0.99029107369673663</v>
      </c>
      <c r="R68" s="9">
        <f t="shared" si="3"/>
        <v>1.1680992427918491</v>
      </c>
    </row>
    <row r="69" spans="1:18">
      <c r="A69" s="7">
        <f t="shared" si="4"/>
        <v>68</v>
      </c>
      <c r="B69" s="7">
        <f t="shared" si="5"/>
        <v>79</v>
      </c>
      <c r="C69" s="7" t="str">
        <f>'1_RawData'!A69</f>
        <v>1954-08</v>
      </c>
      <c r="D69" s="7" t="str">
        <f>'1_RawData'!A80</f>
        <v>1955-07</v>
      </c>
      <c r="E69" s="8">
        <f>'2_Preprocessed'!$D69</f>
        <v>0.4669952238976891</v>
      </c>
      <c r="F69" s="8">
        <f>'2_Preprocessed'!$D70</f>
        <v>0.1695239578666341</v>
      </c>
      <c r="G69" s="8">
        <f>'2_Preprocessed'!$D71</f>
        <v>-0.12737214146640555</v>
      </c>
      <c r="H69" s="8">
        <f>'2_Preprocessed'!$D72</f>
        <v>-0.41802183104253982</v>
      </c>
      <c r="I69" s="8">
        <f>'2_Preprocessed'!$D73</f>
        <v>-0.12737214146640555</v>
      </c>
      <c r="J69" s="8">
        <f>'2_Preprocessed'!$D74</f>
        <v>5.7921634386639814E-3</v>
      </c>
      <c r="K69" s="8">
        <f>'2_Preprocessed'!$D75</f>
        <v>-8.5609887519242714E-2</v>
      </c>
      <c r="L69" s="8">
        <f>'2_Preprocessed'!$D76</f>
        <v>0.24288961213171645</v>
      </c>
      <c r="M69" s="8">
        <f>'2_Preprocessed'!$D77</f>
        <v>0.26088753074386811</v>
      </c>
      <c r="N69" s="8">
        <f>'2_Preprocessed'!$D78</f>
        <v>0.26983637181387321</v>
      </c>
      <c r="O69" s="8">
        <f>'2_Preprocessed'!$D79</f>
        <v>0.64160309263790005</v>
      </c>
      <c r="P69" s="8">
        <f>'2_Preprocessed'!$D80</f>
        <v>0.99029107369673663</v>
      </c>
      <c r="Q69" s="8">
        <f>'2_Preprocessed'!$D81</f>
        <v>0.87494118934723042</v>
      </c>
      <c r="R69" s="9">
        <f t="shared" si="3"/>
        <v>1.4330301335152618</v>
      </c>
    </row>
    <row r="70" spans="1:18">
      <c r="A70" s="7">
        <f t="shared" si="4"/>
        <v>69</v>
      </c>
      <c r="B70" s="7">
        <f t="shared" si="5"/>
        <v>80</v>
      </c>
      <c r="C70" s="7" t="str">
        <f>'1_RawData'!A70</f>
        <v>1954-09</v>
      </c>
      <c r="D70" s="7" t="str">
        <f>'1_RawData'!A81</f>
        <v>1955-08</v>
      </c>
      <c r="E70" s="8">
        <f>'2_Preprocessed'!$D70</f>
        <v>0.1695239578666341</v>
      </c>
      <c r="F70" s="8">
        <f>'2_Preprocessed'!$D71</f>
        <v>-0.12737214146640555</v>
      </c>
      <c r="G70" s="8">
        <f>'2_Preprocessed'!$D72</f>
        <v>-0.41802183104253982</v>
      </c>
      <c r="H70" s="8">
        <f>'2_Preprocessed'!$D73</f>
        <v>-0.12737214146640555</v>
      </c>
      <c r="I70" s="8">
        <f>'2_Preprocessed'!$D74</f>
        <v>5.7921634386639814E-3</v>
      </c>
      <c r="J70" s="8">
        <f>'2_Preprocessed'!$D75</f>
        <v>-8.5609887519242714E-2</v>
      </c>
      <c r="K70" s="8">
        <f>'2_Preprocessed'!$D76</f>
        <v>0.24288961213171645</v>
      </c>
      <c r="L70" s="8">
        <f>'2_Preprocessed'!$D77</f>
        <v>0.26088753074386811</v>
      </c>
      <c r="M70" s="8">
        <f>'2_Preprocessed'!$D78</f>
        <v>0.26983637181387321</v>
      </c>
      <c r="N70" s="8">
        <f>'2_Preprocessed'!$D79</f>
        <v>0.64160309263790005</v>
      </c>
      <c r="O70" s="8">
        <f>'2_Preprocessed'!$D80</f>
        <v>0.99029107369673663</v>
      </c>
      <c r="P70" s="8">
        <f>'2_Preprocessed'!$D81</f>
        <v>0.87494118934723042</v>
      </c>
      <c r="Q70" s="8">
        <f>'2_Preprocessed'!$D82</f>
        <v>0.61852435287270979</v>
      </c>
      <c r="R70" s="9">
        <f t="shared" si="3"/>
        <v>1.6127656088954347</v>
      </c>
    </row>
    <row r="71" spans="1:18">
      <c r="A71" s="7">
        <f t="shared" si="4"/>
        <v>70</v>
      </c>
      <c r="B71" s="7">
        <f t="shared" si="5"/>
        <v>81</v>
      </c>
      <c r="C71" s="7" t="str">
        <f>'1_RawData'!A71</f>
        <v>1954-10</v>
      </c>
      <c r="D71" s="7" t="str">
        <f>'1_RawData'!A82</f>
        <v>1955-09</v>
      </c>
      <c r="E71" s="8">
        <f>'2_Preprocessed'!$D71</f>
        <v>-0.12737214146640555</v>
      </c>
      <c r="F71" s="8">
        <f>'2_Preprocessed'!$D72</f>
        <v>-0.41802183104253982</v>
      </c>
      <c r="G71" s="8">
        <f>'2_Preprocessed'!$D73</f>
        <v>-0.12737214146640555</v>
      </c>
      <c r="H71" s="8">
        <f>'2_Preprocessed'!$D74</f>
        <v>5.7921634386639814E-3</v>
      </c>
      <c r="I71" s="8">
        <f>'2_Preprocessed'!$D75</f>
        <v>-8.5609887519242714E-2</v>
      </c>
      <c r="J71" s="8">
        <f>'2_Preprocessed'!$D76</f>
        <v>0.24288961213171645</v>
      </c>
      <c r="K71" s="8">
        <f>'2_Preprocessed'!$D77</f>
        <v>0.26088753074386811</v>
      </c>
      <c r="L71" s="8">
        <f>'2_Preprocessed'!$D78</f>
        <v>0.26983637181387321</v>
      </c>
      <c r="M71" s="8">
        <f>'2_Preprocessed'!$D79</f>
        <v>0.64160309263790005</v>
      </c>
      <c r="N71" s="8">
        <f>'2_Preprocessed'!$D80</f>
        <v>0.99029107369673663</v>
      </c>
      <c r="O71" s="8">
        <f>'2_Preprocessed'!$D81</f>
        <v>0.87494118934723042</v>
      </c>
      <c r="P71" s="8">
        <f>'2_Preprocessed'!$D82</f>
        <v>0.61852435287270979</v>
      </c>
      <c r="Q71" s="8">
        <f>'2_Preprocessed'!$D83</f>
        <v>0.30530333308286356</v>
      </c>
      <c r="R71" s="9">
        <f t="shared" si="3"/>
        <v>1.7189668152822783</v>
      </c>
    </row>
    <row r="72" spans="1:18">
      <c r="A72" s="7">
        <f t="shared" si="4"/>
        <v>71</v>
      </c>
      <c r="B72" s="7">
        <f t="shared" si="5"/>
        <v>82</v>
      </c>
      <c r="C72" s="7" t="str">
        <f>'1_RawData'!A72</f>
        <v>1954-11</v>
      </c>
      <c r="D72" s="7" t="str">
        <f>'1_RawData'!A83</f>
        <v>1955-10</v>
      </c>
      <c r="E72" s="8">
        <f>'2_Preprocessed'!$D72</f>
        <v>-0.41802183104253982</v>
      </c>
      <c r="F72" s="8">
        <f>'2_Preprocessed'!$D73</f>
        <v>-0.12737214146640555</v>
      </c>
      <c r="G72" s="8">
        <f>'2_Preprocessed'!$D74</f>
        <v>5.7921634386639814E-3</v>
      </c>
      <c r="H72" s="8">
        <f>'2_Preprocessed'!$D75</f>
        <v>-8.5609887519242714E-2</v>
      </c>
      <c r="I72" s="8">
        <f>'2_Preprocessed'!$D76</f>
        <v>0.24288961213171645</v>
      </c>
      <c r="J72" s="8">
        <f>'2_Preprocessed'!$D77</f>
        <v>0.26088753074386811</v>
      </c>
      <c r="K72" s="8">
        <f>'2_Preprocessed'!$D78</f>
        <v>0.26983637181387321</v>
      </c>
      <c r="L72" s="8">
        <f>'2_Preprocessed'!$D79</f>
        <v>0.64160309263790005</v>
      </c>
      <c r="M72" s="8">
        <f>'2_Preprocessed'!$D80</f>
        <v>0.99029107369673663</v>
      </c>
      <c r="N72" s="8">
        <f>'2_Preprocessed'!$D81</f>
        <v>0.87494118934723042</v>
      </c>
      <c r="O72" s="8">
        <f>'2_Preprocessed'!$D82</f>
        <v>0.61852435287270979</v>
      </c>
      <c r="P72" s="8">
        <f>'2_Preprocessed'!$D83</f>
        <v>0.30530333308286356</v>
      </c>
      <c r="Q72" s="8">
        <f>'2_Preprocessed'!$D84</f>
        <v>-4.455851507203791E-2</v>
      </c>
      <c r="R72" s="9">
        <f t="shared" si="3"/>
        <v>1.7412160620702608</v>
      </c>
    </row>
    <row r="73" spans="1:18">
      <c r="A73" s="7">
        <f t="shared" si="4"/>
        <v>72</v>
      </c>
      <c r="B73" s="7">
        <f t="shared" si="5"/>
        <v>83</v>
      </c>
      <c r="C73" s="7" t="str">
        <f>'1_RawData'!A73</f>
        <v>1954-12</v>
      </c>
      <c r="D73" s="7" t="str">
        <f>'1_RawData'!A84</f>
        <v>1955-11</v>
      </c>
      <c r="E73" s="8">
        <f>'2_Preprocessed'!$D73</f>
        <v>-0.12737214146640555</v>
      </c>
      <c r="F73" s="8">
        <f>'2_Preprocessed'!$D74</f>
        <v>5.7921634386639814E-3</v>
      </c>
      <c r="G73" s="8">
        <f>'2_Preprocessed'!$D75</f>
        <v>-8.5609887519242714E-2</v>
      </c>
      <c r="H73" s="8">
        <f>'2_Preprocessed'!$D76</f>
        <v>0.24288961213171645</v>
      </c>
      <c r="I73" s="8">
        <f>'2_Preprocessed'!$D77</f>
        <v>0.26088753074386811</v>
      </c>
      <c r="J73" s="8">
        <f>'2_Preprocessed'!$D78</f>
        <v>0.26983637181387321</v>
      </c>
      <c r="K73" s="8">
        <f>'2_Preprocessed'!$D79</f>
        <v>0.64160309263790005</v>
      </c>
      <c r="L73" s="8">
        <f>'2_Preprocessed'!$D80</f>
        <v>0.99029107369673663</v>
      </c>
      <c r="M73" s="8">
        <f>'2_Preprocessed'!$D81</f>
        <v>0.87494118934723042</v>
      </c>
      <c r="N73" s="8">
        <f>'2_Preprocessed'!$D82</f>
        <v>0.61852435287270979</v>
      </c>
      <c r="O73" s="8">
        <f>'2_Preprocessed'!$D83</f>
        <v>0.30530333308286356</v>
      </c>
      <c r="P73" s="8">
        <f>'2_Preprocessed'!$D84</f>
        <v>-4.455851507203791E-2</v>
      </c>
      <c r="Q73" s="8">
        <f>'2_Preprocessed'!$D85</f>
        <v>0.3402562622933713</v>
      </c>
      <c r="R73" s="9">
        <f t="shared" si="3"/>
        <v>1.690880417075298</v>
      </c>
    </row>
    <row r="74" spans="1:18">
      <c r="A74" s="7">
        <f t="shared" si="4"/>
        <v>73</v>
      </c>
      <c r="B74" s="7">
        <f t="shared" si="5"/>
        <v>84</v>
      </c>
      <c r="C74" s="7" t="str">
        <f>'1_RawData'!A74</f>
        <v>1955-01</v>
      </c>
      <c r="D74" s="7" t="str">
        <f>'1_RawData'!A85</f>
        <v>1955-12</v>
      </c>
      <c r="E74" s="8">
        <f>'2_Preprocessed'!$D74</f>
        <v>5.7921634386639814E-3</v>
      </c>
      <c r="F74" s="8">
        <f>'2_Preprocessed'!$D75</f>
        <v>-8.5609887519242714E-2</v>
      </c>
      <c r="G74" s="8">
        <f>'2_Preprocessed'!$D76</f>
        <v>0.24288961213171645</v>
      </c>
      <c r="H74" s="8">
        <f>'2_Preprocessed'!$D77</f>
        <v>0.26088753074386811</v>
      </c>
      <c r="I74" s="8">
        <f>'2_Preprocessed'!$D78</f>
        <v>0.26983637181387321</v>
      </c>
      <c r="J74" s="8">
        <f>'2_Preprocessed'!$D79</f>
        <v>0.64160309263790005</v>
      </c>
      <c r="K74" s="8">
        <f>'2_Preprocessed'!$D80</f>
        <v>0.99029107369673663</v>
      </c>
      <c r="L74" s="8">
        <f>'2_Preprocessed'!$D81</f>
        <v>0.87494118934723042</v>
      </c>
      <c r="M74" s="8">
        <f>'2_Preprocessed'!$D82</f>
        <v>0.61852435287270979</v>
      </c>
      <c r="N74" s="8">
        <f>'2_Preprocessed'!$D83</f>
        <v>0.30530333308286356</v>
      </c>
      <c r="O74" s="8">
        <f>'2_Preprocessed'!$D84</f>
        <v>-4.455851507203791E-2</v>
      </c>
      <c r="P74" s="8">
        <f>'2_Preprocessed'!$D85</f>
        <v>0.3402562622933713</v>
      </c>
      <c r="Q74" s="8">
        <f>'2_Preprocessed'!$D86</f>
        <v>0.39175380400169618</v>
      </c>
      <c r="R74" s="9">
        <f t="shared" si="3"/>
        <v>1.7200660587479921</v>
      </c>
    </row>
    <row r="75" spans="1:18">
      <c r="A75" s="7">
        <f t="shared" si="4"/>
        <v>74</v>
      </c>
      <c r="B75" s="7">
        <f t="shared" si="5"/>
        <v>85</v>
      </c>
      <c r="C75" s="7" t="str">
        <f>'1_RawData'!A75</f>
        <v>1955-02</v>
      </c>
      <c r="D75" s="7" t="str">
        <f>'1_RawData'!A86</f>
        <v>1956-01</v>
      </c>
      <c r="E75" s="8">
        <f>'2_Preprocessed'!$D75</f>
        <v>-8.5609887519242714E-2</v>
      </c>
      <c r="F75" s="8">
        <f>'2_Preprocessed'!$D76</f>
        <v>0.24288961213171645</v>
      </c>
      <c r="G75" s="8">
        <f>'2_Preprocessed'!$D77</f>
        <v>0.26088753074386811</v>
      </c>
      <c r="H75" s="8">
        <f>'2_Preprocessed'!$D78</f>
        <v>0.26983637181387321</v>
      </c>
      <c r="I75" s="8">
        <f>'2_Preprocessed'!$D79</f>
        <v>0.64160309263790005</v>
      </c>
      <c r="J75" s="8">
        <f>'2_Preprocessed'!$D80</f>
        <v>0.99029107369673663</v>
      </c>
      <c r="K75" s="8">
        <f>'2_Preprocessed'!$D81</f>
        <v>0.87494118934723042</v>
      </c>
      <c r="L75" s="8">
        <f>'2_Preprocessed'!$D82</f>
        <v>0.61852435287270979</v>
      </c>
      <c r="M75" s="8">
        <f>'2_Preprocessed'!$D83</f>
        <v>0.30530333308286356</v>
      </c>
      <c r="N75" s="8">
        <f>'2_Preprocessed'!$D84</f>
        <v>-4.455851507203791E-2</v>
      </c>
      <c r="O75" s="8">
        <f>'2_Preprocessed'!$D85</f>
        <v>0.3402562622933713</v>
      </c>
      <c r="P75" s="8">
        <f>'2_Preprocessed'!$D86</f>
        <v>0.39175380400169618</v>
      </c>
      <c r="Q75" s="8">
        <f>'2_Preprocessed'!$D87</f>
        <v>0.33156540639744297</v>
      </c>
      <c r="R75" s="9">
        <f t="shared" si="3"/>
        <v>1.7641045151150627</v>
      </c>
    </row>
    <row r="76" spans="1:18">
      <c r="A76" s="7">
        <f t="shared" si="4"/>
        <v>75</v>
      </c>
      <c r="B76" s="7">
        <f t="shared" si="5"/>
        <v>86</v>
      </c>
      <c r="C76" s="7" t="str">
        <f>'1_RawData'!A76</f>
        <v>1955-03</v>
      </c>
      <c r="D76" s="7" t="str">
        <f>'1_RawData'!A87</f>
        <v>1956-02</v>
      </c>
      <c r="E76" s="8">
        <f>'2_Preprocessed'!$D76</f>
        <v>0.24288961213171645</v>
      </c>
      <c r="F76" s="8">
        <f>'2_Preprocessed'!$D77</f>
        <v>0.26088753074386811</v>
      </c>
      <c r="G76" s="8">
        <f>'2_Preprocessed'!$D78</f>
        <v>0.26983637181387321</v>
      </c>
      <c r="H76" s="8">
        <f>'2_Preprocessed'!$D79</f>
        <v>0.64160309263790005</v>
      </c>
      <c r="I76" s="8">
        <f>'2_Preprocessed'!$D80</f>
        <v>0.99029107369673663</v>
      </c>
      <c r="J76" s="8">
        <f>'2_Preprocessed'!$D81</f>
        <v>0.87494118934723042</v>
      </c>
      <c r="K76" s="8">
        <f>'2_Preprocessed'!$D82</f>
        <v>0.61852435287270979</v>
      </c>
      <c r="L76" s="8">
        <f>'2_Preprocessed'!$D83</f>
        <v>0.30530333308286356</v>
      </c>
      <c r="M76" s="8">
        <f>'2_Preprocessed'!$D84</f>
        <v>-4.455851507203791E-2</v>
      </c>
      <c r="N76" s="8">
        <f>'2_Preprocessed'!$D85</f>
        <v>0.3402562622933713</v>
      </c>
      <c r="O76" s="8">
        <f>'2_Preprocessed'!$D86</f>
        <v>0.39175380400169618</v>
      </c>
      <c r="P76" s="8">
        <f>'2_Preprocessed'!$D87</f>
        <v>0.33156540639744297</v>
      </c>
      <c r="Q76" s="8">
        <f>'2_Preprocessed'!$D88</f>
        <v>0.65686713030831467</v>
      </c>
      <c r="R76" s="9">
        <f t="shared" si="3"/>
        <v>1.7929504472036573</v>
      </c>
    </row>
    <row r="77" spans="1:18">
      <c r="A77" s="7">
        <f t="shared" si="4"/>
        <v>76</v>
      </c>
      <c r="B77" s="7">
        <f t="shared" si="5"/>
        <v>87</v>
      </c>
      <c r="C77" s="7" t="str">
        <f>'1_RawData'!A77</f>
        <v>1955-04</v>
      </c>
      <c r="D77" s="7" t="str">
        <f>'1_RawData'!A88</f>
        <v>1956-03</v>
      </c>
      <c r="E77" s="8">
        <f>'2_Preprocessed'!$D77</f>
        <v>0.26088753074386811</v>
      </c>
      <c r="F77" s="8">
        <f>'2_Preprocessed'!$D78</f>
        <v>0.26983637181387321</v>
      </c>
      <c r="G77" s="8">
        <f>'2_Preprocessed'!$D79</f>
        <v>0.64160309263790005</v>
      </c>
      <c r="H77" s="8">
        <f>'2_Preprocessed'!$D80</f>
        <v>0.99029107369673663</v>
      </c>
      <c r="I77" s="8">
        <f>'2_Preprocessed'!$D81</f>
        <v>0.87494118934723042</v>
      </c>
      <c r="J77" s="8">
        <f>'2_Preprocessed'!$D82</f>
        <v>0.61852435287270979</v>
      </c>
      <c r="K77" s="8">
        <f>'2_Preprocessed'!$D83</f>
        <v>0.30530333308286356</v>
      </c>
      <c r="L77" s="8">
        <f>'2_Preprocessed'!$D84</f>
        <v>-4.455851507203791E-2</v>
      </c>
      <c r="M77" s="8">
        <f>'2_Preprocessed'!$D85</f>
        <v>0.3402562622933713</v>
      </c>
      <c r="N77" s="8">
        <f>'2_Preprocessed'!$D86</f>
        <v>0.39175380400169618</v>
      </c>
      <c r="O77" s="8">
        <f>'2_Preprocessed'!$D87</f>
        <v>0.33156540639744297</v>
      </c>
      <c r="P77" s="8">
        <f>'2_Preprocessed'!$D88</f>
        <v>0.65686713030831467</v>
      </c>
      <c r="Q77" s="8">
        <f>'2_Preprocessed'!$D89</f>
        <v>0.62624183114229914</v>
      </c>
      <c r="R77" s="9">
        <f t="shared" si="3"/>
        <v>1.8939773940904836</v>
      </c>
    </row>
    <row r="78" spans="1:18">
      <c r="A78" s="7">
        <f t="shared" si="4"/>
        <v>77</v>
      </c>
      <c r="B78" s="7">
        <f t="shared" si="5"/>
        <v>88</v>
      </c>
      <c r="C78" s="7" t="str">
        <f>'1_RawData'!A78</f>
        <v>1955-05</v>
      </c>
      <c r="D78" s="7" t="str">
        <f>'1_RawData'!A89</f>
        <v>1956-04</v>
      </c>
      <c r="E78" s="8">
        <f>'2_Preprocessed'!$D78</f>
        <v>0.26983637181387321</v>
      </c>
      <c r="F78" s="8">
        <f>'2_Preprocessed'!$D79</f>
        <v>0.64160309263790005</v>
      </c>
      <c r="G78" s="8">
        <f>'2_Preprocessed'!$D80</f>
        <v>0.99029107369673663</v>
      </c>
      <c r="H78" s="8">
        <f>'2_Preprocessed'!$D81</f>
        <v>0.87494118934723042</v>
      </c>
      <c r="I78" s="8">
        <f>'2_Preprocessed'!$D82</f>
        <v>0.61852435287270979</v>
      </c>
      <c r="J78" s="8">
        <f>'2_Preprocessed'!$D83</f>
        <v>0.30530333308286356</v>
      </c>
      <c r="K78" s="8">
        <f>'2_Preprocessed'!$D84</f>
        <v>-4.455851507203791E-2</v>
      </c>
      <c r="L78" s="8">
        <f>'2_Preprocessed'!$D85</f>
        <v>0.3402562622933713</v>
      </c>
      <c r="M78" s="8">
        <f>'2_Preprocessed'!$D86</f>
        <v>0.39175380400169618</v>
      </c>
      <c r="N78" s="8">
        <f>'2_Preprocessed'!$D87</f>
        <v>0.33156540639744297</v>
      </c>
      <c r="O78" s="8">
        <f>'2_Preprocessed'!$D88</f>
        <v>0.65686713030831467</v>
      </c>
      <c r="P78" s="8">
        <f>'2_Preprocessed'!$D89</f>
        <v>0.62624183114229914</v>
      </c>
      <c r="Q78" s="8">
        <f>'2_Preprocessed'!$D90</f>
        <v>0.66446307328449994</v>
      </c>
      <c r="R78" s="9">
        <f t="shared" si="3"/>
        <v>1.977692315983608</v>
      </c>
    </row>
    <row r="79" spans="1:18">
      <c r="A79" s="7">
        <f t="shared" si="4"/>
        <v>78</v>
      </c>
      <c r="B79" s="7">
        <f t="shared" si="5"/>
        <v>89</v>
      </c>
      <c r="C79" s="7" t="str">
        <f>'1_RawData'!A79</f>
        <v>1955-06</v>
      </c>
      <c r="D79" s="7" t="str">
        <f>'1_RawData'!A90</f>
        <v>1956-05</v>
      </c>
      <c r="E79" s="8">
        <f>'2_Preprocessed'!$D79</f>
        <v>0.64160309263790005</v>
      </c>
      <c r="F79" s="8">
        <f>'2_Preprocessed'!$D80</f>
        <v>0.99029107369673663</v>
      </c>
      <c r="G79" s="8">
        <f>'2_Preprocessed'!$D81</f>
        <v>0.87494118934723042</v>
      </c>
      <c r="H79" s="8">
        <f>'2_Preprocessed'!$D82</f>
        <v>0.61852435287270979</v>
      </c>
      <c r="I79" s="8">
        <f>'2_Preprocessed'!$D83</f>
        <v>0.30530333308286356</v>
      </c>
      <c r="J79" s="8">
        <f>'2_Preprocessed'!$D84</f>
        <v>-4.455851507203791E-2</v>
      </c>
      <c r="K79" s="8">
        <f>'2_Preprocessed'!$D85</f>
        <v>0.3402562622933713</v>
      </c>
      <c r="L79" s="8">
        <f>'2_Preprocessed'!$D86</f>
        <v>0.39175380400169618</v>
      </c>
      <c r="M79" s="8">
        <f>'2_Preprocessed'!$D87</f>
        <v>0.33156540639744297</v>
      </c>
      <c r="N79" s="8">
        <f>'2_Preprocessed'!$D88</f>
        <v>0.65686713030831467</v>
      </c>
      <c r="O79" s="8">
        <f>'2_Preprocessed'!$D89</f>
        <v>0.62624183114229914</v>
      </c>
      <c r="P79" s="8">
        <f>'2_Preprocessed'!$D90</f>
        <v>0.66446307328449994</v>
      </c>
      <c r="Q79" s="8">
        <f>'2_Preprocessed'!$D91</f>
        <v>1.055653066084856</v>
      </c>
      <c r="R79" s="9">
        <f t="shared" si="3"/>
        <v>2.0688079671408883</v>
      </c>
    </row>
    <row r="80" spans="1:18">
      <c r="A80" s="7">
        <f t="shared" si="4"/>
        <v>79</v>
      </c>
      <c r="B80" s="7">
        <f t="shared" si="5"/>
        <v>90</v>
      </c>
      <c r="C80" s="7" t="str">
        <f>'1_RawData'!A80</f>
        <v>1955-07</v>
      </c>
      <c r="D80" s="7" t="str">
        <f>'1_RawData'!A91</f>
        <v>1956-06</v>
      </c>
      <c r="E80" s="8">
        <f>'2_Preprocessed'!$D80</f>
        <v>0.99029107369673663</v>
      </c>
      <c r="F80" s="8">
        <f>'2_Preprocessed'!$D81</f>
        <v>0.87494118934723042</v>
      </c>
      <c r="G80" s="8">
        <f>'2_Preprocessed'!$D82</f>
        <v>0.61852435287270979</v>
      </c>
      <c r="H80" s="8">
        <f>'2_Preprocessed'!$D83</f>
        <v>0.30530333308286356</v>
      </c>
      <c r="I80" s="8">
        <f>'2_Preprocessed'!$D84</f>
        <v>-4.455851507203791E-2</v>
      </c>
      <c r="J80" s="8">
        <f>'2_Preprocessed'!$D85</f>
        <v>0.3402562622933713</v>
      </c>
      <c r="K80" s="8">
        <f>'2_Preprocessed'!$D86</f>
        <v>0.39175380400169618</v>
      </c>
      <c r="L80" s="8">
        <f>'2_Preprocessed'!$D87</f>
        <v>0.33156540639744297</v>
      </c>
      <c r="M80" s="8">
        <f>'2_Preprocessed'!$D88</f>
        <v>0.65686713030831467</v>
      </c>
      <c r="N80" s="8">
        <f>'2_Preprocessed'!$D89</f>
        <v>0.62624183114229914</v>
      </c>
      <c r="O80" s="8">
        <f>'2_Preprocessed'!$D90</f>
        <v>0.66446307328449994</v>
      </c>
      <c r="P80" s="8">
        <f>'2_Preprocessed'!$D91</f>
        <v>1.055653066084856</v>
      </c>
      <c r="Q80" s="8">
        <f>'2_Preprocessed'!$D92</f>
        <v>1.2948749015272529</v>
      </c>
      <c r="R80" s="9">
        <f t="shared" si="3"/>
        <v>2.2321996488570313</v>
      </c>
    </row>
    <row r="81" spans="1:18">
      <c r="A81" s="7">
        <f t="shared" si="4"/>
        <v>80</v>
      </c>
      <c r="B81" s="7">
        <f t="shared" si="5"/>
        <v>91</v>
      </c>
      <c r="C81" s="7" t="str">
        <f>'1_RawData'!A81</f>
        <v>1955-08</v>
      </c>
      <c r="D81" s="7" t="str">
        <f>'1_RawData'!A92</f>
        <v>1956-07</v>
      </c>
      <c r="E81" s="8">
        <f>'2_Preprocessed'!$D81</f>
        <v>0.87494118934723042</v>
      </c>
      <c r="F81" s="8">
        <f>'2_Preprocessed'!$D82</f>
        <v>0.61852435287270979</v>
      </c>
      <c r="G81" s="8">
        <f>'2_Preprocessed'!$D83</f>
        <v>0.30530333308286356</v>
      </c>
      <c r="H81" s="8">
        <f>'2_Preprocessed'!$D84</f>
        <v>-4.455851507203791E-2</v>
      </c>
      <c r="I81" s="8">
        <f>'2_Preprocessed'!$D85</f>
        <v>0.3402562622933713</v>
      </c>
      <c r="J81" s="8">
        <f>'2_Preprocessed'!$D86</f>
        <v>0.39175380400169618</v>
      </c>
      <c r="K81" s="8">
        <f>'2_Preprocessed'!$D87</f>
        <v>0.33156540639744297</v>
      </c>
      <c r="L81" s="8">
        <f>'2_Preprocessed'!$D88</f>
        <v>0.65686713030831467</v>
      </c>
      <c r="M81" s="8">
        <f>'2_Preprocessed'!$D89</f>
        <v>0.62624183114229914</v>
      </c>
      <c r="N81" s="8">
        <f>'2_Preprocessed'!$D90</f>
        <v>0.66446307328449994</v>
      </c>
      <c r="O81" s="8">
        <f>'2_Preprocessed'!$D91</f>
        <v>1.055653066084856</v>
      </c>
      <c r="P81" s="8">
        <f>'2_Preprocessed'!$D92</f>
        <v>1.2948749015272529</v>
      </c>
      <c r="Q81" s="8">
        <f>'2_Preprocessed'!$D93</f>
        <v>1.2477005876502856</v>
      </c>
      <c r="R81" s="9">
        <f t="shared" si="3"/>
        <v>2.3830106739834869</v>
      </c>
    </row>
    <row r="82" spans="1:18">
      <c r="A82" s="7">
        <f t="shared" si="4"/>
        <v>81</v>
      </c>
      <c r="B82" s="7">
        <f t="shared" si="5"/>
        <v>92</v>
      </c>
      <c r="C82" s="7" t="str">
        <f>'1_RawData'!A82</f>
        <v>1955-09</v>
      </c>
      <c r="D82" s="7" t="str">
        <f>'1_RawData'!A93</f>
        <v>1956-08</v>
      </c>
      <c r="E82" s="8">
        <f>'2_Preprocessed'!$D82</f>
        <v>0.61852435287270979</v>
      </c>
      <c r="F82" s="8">
        <f>'2_Preprocessed'!$D83</f>
        <v>0.30530333308286356</v>
      </c>
      <c r="G82" s="8">
        <f>'2_Preprocessed'!$D84</f>
        <v>-4.455851507203791E-2</v>
      </c>
      <c r="H82" s="8">
        <f>'2_Preprocessed'!$D85</f>
        <v>0.3402562622933713</v>
      </c>
      <c r="I82" s="8">
        <f>'2_Preprocessed'!$D86</f>
        <v>0.39175380400169618</v>
      </c>
      <c r="J82" s="8">
        <f>'2_Preprocessed'!$D87</f>
        <v>0.33156540639744297</v>
      </c>
      <c r="K82" s="8">
        <f>'2_Preprocessed'!$D88</f>
        <v>0.65686713030831467</v>
      </c>
      <c r="L82" s="8">
        <f>'2_Preprocessed'!$D89</f>
        <v>0.62624183114229914</v>
      </c>
      <c r="M82" s="8">
        <f>'2_Preprocessed'!$D90</f>
        <v>0.66446307328449994</v>
      </c>
      <c r="N82" s="8">
        <f>'2_Preprocessed'!$D91</f>
        <v>1.055653066084856</v>
      </c>
      <c r="O82" s="8">
        <f>'2_Preprocessed'!$D92</f>
        <v>1.2948749015272529</v>
      </c>
      <c r="P82" s="8">
        <f>'2_Preprocessed'!$D93</f>
        <v>1.2477005876502856</v>
      </c>
      <c r="Q82" s="8">
        <f>'2_Preprocessed'!$D94</f>
        <v>0.92991131610656719</v>
      </c>
      <c r="R82" s="9">
        <f t="shared" si="3"/>
        <v>2.5436144644827277</v>
      </c>
    </row>
    <row r="83" spans="1:18">
      <c r="A83" s="7">
        <f t="shared" si="4"/>
        <v>82</v>
      </c>
      <c r="B83" s="7">
        <f t="shared" si="5"/>
        <v>93</v>
      </c>
      <c r="C83" s="7" t="str">
        <f>'1_RawData'!A83</f>
        <v>1955-10</v>
      </c>
      <c r="D83" s="7" t="str">
        <f>'1_RawData'!A94</f>
        <v>1956-09</v>
      </c>
      <c r="E83" s="8">
        <f>'2_Preprocessed'!$D83</f>
        <v>0.30530333308286356</v>
      </c>
      <c r="F83" s="8">
        <f>'2_Preprocessed'!$D84</f>
        <v>-4.455851507203791E-2</v>
      </c>
      <c r="G83" s="8">
        <f>'2_Preprocessed'!$D85</f>
        <v>0.3402562622933713</v>
      </c>
      <c r="H83" s="8">
        <f>'2_Preprocessed'!$D86</f>
        <v>0.39175380400169618</v>
      </c>
      <c r="I83" s="8">
        <f>'2_Preprocessed'!$D87</f>
        <v>0.33156540639744297</v>
      </c>
      <c r="J83" s="8">
        <f>'2_Preprocessed'!$D88</f>
        <v>0.65686713030831467</v>
      </c>
      <c r="K83" s="8">
        <f>'2_Preprocessed'!$D89</f>
        <v>0.62624183114229914</v>
      </c>
      <c r="L83" s="8">
        <f>'2_Preprocessed'!$D90</f>
        <v>0.66446307328449994</v>
      </c>
      <c r="M83" s="8">
        <f>'2_Preprocessed'!$D91</f>
        <v>1.055653066084856</v>
      </c>
      <c r="N83" s="8">
        <f>'2_Preprocessed'!$D92</f>
        <v>1.2948749015272529</v>
      </c>
      <c r="O83" s="8">
        <f>'2_Preprocessed'!$D93</f>
        <v>1.2477005876502856</v>
      </c>
      <c r="P83" s="8">
        <f>'2_Preprocessed'!$D94</f>
        <v>0.92991131610656719</v>
      </c>
      <c r="Q83" s="8">
        <f>'2_Preprocessed'!$D95</f>
        <v>0.57169356294778828</v>
      </c>
      <c r="R83" s="9">
        <f t="shared" si="3"/>
        <v>2.6366905818946971</v>
      </c>
    </row>
    <row r="84" spans="1:18">
      <c r="A84" s="7">
        <f t="shared" si="4"/>
        <v>83</v>
      </c>
      <c r="B84" s="7">
        <f t="shared" si="5"/>
        <v>94</v>
      </c>
      <c r="C84" s="7" t="str">
        <f>'1_RawData'!A84</f>
        <v>1955-11</v>
      </c>
      <c r="D84" s="7" t="str">
        <f>'1_RawData'!A95</f>
        <v>1956-10</v>
      </c>
      <c r="E84" s="8">
        <f>'2_Preprocessed'!$D84</f>
        <v>-4.455851507203791E-2</v>
      </c>
      <c r="F84" s="8">
        <f>'2_Preprocessed'!$D85</f>
        <v>0.3402562622933713</v>
      </c>
      <c r="G84" s="8">
        <f>'2_Preprocessed'!$D86</f>
        <v>0.39175380400169618</v>
      </c>
      <c r="H84" s="8">
        <f>'2_Preprocessed'!$D87</f>
        <v>0.33156540639744297</v>
      </c>
      <c r="I84" s="8">
        <f>'2_Preprocessed'!$D88</f>
        <v>0.65686713030831467</v>
      </c>
      <c r="J84" s="8">
        <f>'2_Preprocessed'!$D89</f>
        <v>0.62624183114229914</v>
      </c>
      <c r="K84" s="8">
        <f>'2_Preprocessed'!$D90</f>
        <v>0.66446307328449994</v>
      </c>
      <c r="L84" s="8">
        <f>'2_Preprocessed'!$D91</f>
        <v>1.055653066084856</v>
      </c>
      <c r="M84" s="8">
        <f>'2_Preprocessed'!$D92</f>
        <v>1.2948749015272529</v>
      </c>
      <c r="N84" s="8">
        <f>'2_Preprocessed'!$D93</f>
        <v>1.2477005876502856</v>
      </c>
      <c r="O84" s="8">
        <f>'2_Preprocessed'!$D94</f>
        <v>0.92991131610656719</v>
      </c>
      <c r="P84" s="8">
        <f>'2_Preprocessed'!$D95</f>
        <v>0.57169356294778828</v>
      </c>
      <c r="Q84" s="8">
        <f>'2_Preprocessed'!$D96</f>
        <v>0.27875213021662587</v>
      </c>
      <c r="R84" s="9">
        <f t="shared" si="3"/>
        <v>2.6806269097688</v>
      </c>
    </row>
    <row r="85" spans="1:18">
      <c r="A85" s="7">
        <f t="shared" si="4"/>
        <v>84</v>
      </c>
      <c r="B85" s="7">
        <f t="shared" si="5"/>
        <v>95</v>
      </c>
      <c r="C85" s="7" t="str">
        <f>'1_RawData'!A85</f>
        <v>1955-12</v>
      </c>
      <c r="D85" s="7" t="str">
        <f>'1_RawData'!A96</f>
        <v>1956-11</v>
      </c>
      <c r="E85" s="8">
        <f>'2_Preprocessed'!$D85</f>
        <v>0.3402562622933713</v>
      </c>
      <c r="F85" s="8">
        <f>'2_Preprocessed'!$D86</f>
        <v>0.39175380400169618</v>
      </c>
      <c r="G85" s="8">
        <f>'2_Preprocessed'!$D87</f>
        <v>0.33156540639744297</v>
      </c>
      <c r="H85" s="8">
        <f>'2_Preprocessed'!$D88</f>
        <v>0.65686713030831467</v>
      </c>
      <c r="I85" s="8">
        <f>'2_Preprocessed'!$D89</f>
        <v>0.62624183114229914</v>
      </c>
      <c r="J85" s="8">
        <f>'2_Preprocessed'!$D90</f>
        <v>0.66446307328449994</v>
      </c>
      <c r="K85" s="8">
        <f>'2_Preprocessed'!$D91</f>
        <v>1.055653066084856</v>
      </c>
      <c r="L85" s="8">
        <f>'2_Preprocessed'!$D92</f>
        <v>1.2948749015272529</v>
      </c>
      <c r="M85" s="8">
        <f>'2_Preprocessed'!$D93</f>
        <v>1.2477005876502856</v>
      </c>
      <c r="N85" s="8">
        <f>'2_Preprocessed'!$D94</f>
        <v>0.92991131610656719</v>
      </c>
      <c r="O85" s="8">
        <f>'2_Preprocessed'!$D95</f>
        <v>0.57169356294778828</v>
      </c>
      <c r="P85" s="8">
        <f>'2_Preprocessed'!$D96</f>
        <v>0.27875213021662587</v>
      </c>
      <c r="Q85" s="8">
        <f>'2_Preprocessed'!$D97</f>
        <v>0.57169356294778828</v>
      </c>
      <c r="R85" s="9">
        <f t="shared" si="3"/>
        <v>2.6947129565524244</v>
      </c>
    </row>
    <row r="86" spans="1:18">
      <c r="A86" s="7">
        <f t="shared" si="4"/>
        <v>85</v>
      </c>
      <c r="B86" s="7">
        <f t="shared" si="5"/>
        <v>96</v>
      </c>
      <c r="C86" s="7" t="str">
        <f>'1_RawData'!A86</f>
        <v>1956-01</v>
      </c>
      <c r="D86" s="7" t="str">
        <f>'1_RawData'!A97</f>
        <v>1956-12</v>
      </c>
      <c r="E86" s="8">
        <f>'2_Preprocessed'!$D86</f>
        <v>0.39175380400169618</v>
      </c>
      <c r="F86" s="8">
        <f>'2_Preprocessed'!$D87</f>
        <v>0.33156540639744297</v>
      </c>
      <c r="G86" s="8">
        <f>'2_Preprocessed'!$D88</f>
        <v>0.65686713030831467</v>
      </c>
      <c r="H86" s="8">
        <f>'2_Preprocessed'!$D89</f>
        <v>0.62624183114229914</v>
      </c>
      <c r="I86" s="8">
        <f>'2_Preprocessed'!$D90</f>
        <v>0.66446307328449994</v>
      </c>
      <c r="J86" s="8">
        <f>'2_Preprocessed'!$D91</f>
        <v>1.055653066084856</v>
      </c>
      <c r="K86" s="8">
        <f>'2_Preprocessed'!$D92</f>
        <v>1.2948749015272529</v>
      </c>
      <c r="L86" s="8">
        <f>'2_Preprocessed'!$D93</f>
        <v>1.2477005876502856</v>
      </c>
      <c r="M86" s="8">
        <f>'2_Preprocessed'!$D94</f>
        <v>0.92991131610656719</v>
      </c>
      <c r="N86" s="8">
        <f>'2_Preprocessed'!$D95</f>
        <v>0.57169356294778828</v>
      </c>
      <c r="O86" s="8">
        <f>'2_Preprocessed'!$D96</f>
        <v>0.27875213021662587</v>
      </c>
      <c r="P86" s="8">
        <f>'2_Preprocessed'!$D97</f>
        <v>0.57169356294778828</v>
      </c>
      <c r="Q86" s="8">
        <f>'2_Preprocessed'!$D98</f>
        <v>0.64160309263790005</v>
      </c>
      <c r="R86" s="9">
        <f t="shared" si="3"/>
        <v>2.7335941769212178</v>
      </c>
    </row>
    <row r="87" spans="1:18">
      <c r="A87" s="7">
        <f t="shared" si="4"/>
        <v>86</v>
      </c>
      <c r="B87" s="7">
        <f t="shared" si="5"/>
        <v>97</v>
      </c>
      <c r="C87" s="7" t="str">
        <f>'1_RawData'!A87</f>
        <v>1956-02</v>
      </c>
      <c r="D87" s="7" t="str">
        <f>'1_RawData'!A98</f>
        <v>1957-01</v>
      </c>
      <c r="E87" s="8">
        <f>'2_Preprocessed'!$D87</f>
        <v>0.33156540639744297</v>
      </c>
      <c r="F87" s="8">
        <f>'2_Preprocessed'!$D88</f>
        <v>0.65686713030831467</v>
      </c>
      <c r="G87" s="8">
        <f>'2_Preprocessed'!$D89</f>
        <v>0.62624183114229914</v>
      </c>
      <c r="H87" s="8">
        <f>'2_Preprocessed'!$D90</f>
        <v>0.66446307328449994</v>
      </c>
      <c r="I87" s="8">
        <f>'2_Preprocessed'!$D91</f>
        <v>1.055653066084856</v>
      </c>
      <c r="J87" s="8">
        <f>'2_Preprocessed'!$D92</f>
        <v>1.2948749015272529</v>
      </c>
      <c r="K87" s="8">
        <f>'2_Preprocessed'!$D93</f>
        <v>1.2477005876502856</v>
      </c>
      <c r="L87" s="8">
        <f>'2_Preprocessed'!$D94</f>
        <v>0.92991131610656719</v>
      </c>
      <c r="M87" s="8">
        <f>'2_Preprocessed'!$D95</f>
        <v>0.57169356294778828</v>
      </c>
      <c r="N87" s="8">
        <f>'2_Preprocessed'!$D96</f>
        <v>0.27875213021662587</v>
      </c>
      <c r="O87" s="8">
        <f>'2_Preprocessed'!$D97</f>
        <v>0.57169356294778828</v>
      </c>
      <c r="P87" s="8">
        <f>'2_Preprocessed'!$D98</f>
        <v>0.64160309263790005</v>
      </c>
      <c r="Q87" s="8">
        <f>'2_Preprocessed'!$D99</f>
        <v>0.53196103494259028</v>
      </c>
      <c r="R87" s="9">
        <f t="shared" si="3"/>
        <v>2.780417344506092</v>
      </c>
    </row>
    <row r="88" spans="1:18">
      <c r="A88" s="7">
        <f t="shared" si="4"/>
        <v>87</v>
      </c>
      <c r="B88" s="7">
        <f t="shared" si="5"/>
        <v>98</v>
      </c>
      <c r="C88" s="7" t="str">
        <f>'1_RawData'!A88</f>
        <v>1956-03</v>
      </c>
      <c r="D88" s="7" t="str">
        <f>'1_RawData'!A99</f>
        <v>1957-02</v>
      </c>
      <c r="E88" s="8">
        <f>'2_Preprocessed'!$D88</f>
        <v>0.65686713030831467</v>
      </c>
      <c r="F88" s="8">
        <f>'2_Preprocessed'!$D89</f>
        <v>0.62624183114229914</v>
      </c>
      <c r="G88" s="8">
        <f>'2_Preprocessed'!$D90</f>
        <v>0.66446307328449994</v>
      </c>
      <c r="H88" s="8">
        <f>'2_Preprocessed'!$D91</f>
        <v>1.055653066084856</v>
      </c>
      <c r="I88" s="8">
        <f>'2_Preprocessed'!$D92</f>
        <v>1.2948749015272529</v>
      </c>
      <c r="J88" s="8">
        <f>'2_Preprocessed'!$D93</f>
        <v>1.2477005876502856</v>
      </c>
      <c r="K88" s="8">
        <f>'2_Preprocessed'!$D94</f>
        <v>0.92991131610656719</v>
      </c>
      <c r="L88" s="8">
        <f>'2_Preprocessed'!$D95</f>
        <v>0.57169356294778828</v>
      </c>
      <c r="M88" s="8">
        <f>'2_Preprocessed'!$D96</f>
        <v>0.27875213021662587</v>
      </c>
      <c r="N88" s="8">
        <f>'2_Preprocessed'!$D97</f>
        <v>0.57169356294778828</v>
      </c>
      <c r="O88" s="8">
        <f>'2_Preprocessed'!$D98</f>
        <v>0.64160309263790005</v>
      </c>
      <c r="P88" s="8">
        <f>'2_Preprocessed'!$D99</f>
        <v>0.53196103494259028</v>
      </c>
      <c r="Q88" s="8">
        <f>'2_Preprocessed'!$D100</f>
        <v>0.93669531467618794</v>
      </c>
      <c r="R88" s="9">
        <f t="shared" si="3"/>
        <v>2.8113639987749717</v>
      </c>
    </row>
    <row r="89" spans="1:18">
      <c r="A89" s="7">
        <f t="shared" si="4"/>
        <v>88</v>
      </c>
      <c r="B89" s="7">
        <f t="shared" si="5"/>
        <v>99</v>
      </c>
      <c r="C89" s="7" t="str">
        <f>'1_RawData'!A89</f>
        <v>1956-04</v>
      </c>
      <c r="D89" s="7" t="str">
        <f>'1_RawData'!A100</f>
        <v>1957-03</v>
      </c>
      <c r="E89" s="8">
        <f>'2_Preprocessed'!$D89</f>
        <v>0.62624183114229914</v>
      </c>
      <c r="F89" s="8">
        <f>'2_Preprocessed'!$D90</f>
        <v>0.66446307328449994</v>
      </c>
      <c r="G89" s="8">
        <f>'2_Preprocessed'!$D91</f>
        <v>1.055653066084856</v>
      </c>
      <c r="H89" s="8">
        <f>'2_Preprocessed'!$D92</f>
        <v>1.2948749015272529</v>
      </c>
      <c r="I89" s="8">
        <f>'2_Preprocessed'!$D93</f>
        <v>1.2477005876502856</v>
      </c>
      <c r="J89" s="8">
        <f>'2_Preprocessed'!$D94</f>
        <v>0.92991131610656719</v>
      </c>
      <c r="K89" s="8">
        <f>'2_Preprocessed'!$D95</f>
        <v>0.57169356294778828</v>
      </c>
      <c r="L89" s="8">
        <f>'2_Preprocessed'!$D96</f>
        <v>0.27875213021662587</v>
      </c>
      <c r="M89" s="8">
        <f>'2_Preprocessed'!$D97</f>
        <v>0.57169356294778828</v>
      </c>
      <c r="N89" s="8">
        <f>'2_Preprocessed'!$D98</f>
        <v>0.64160309263790005</v>
      </c>
      <c r="O89" s="8">
        <f>'2_Preprocessed'!$D99</f>
        <v>0.53196103494259028</v>
      </c>
      <c r="P89" s="8">
        <f>'2_Preprocessed'!$D100</f>
        <v>0.93669531467618794</v>
      </c>
      <c r="Q89" s="8">
        <f>'2_Preprocessed'!$D101</f>
        <v>0.88188136651431936</v>
      </c>
      <c r="R89" s="9">
        <f t="shared" si="3"/>
        <v>2.8895832258761542</v>
      </c>
    </row>
    <row r="90" spans="1:18">
      <c r="A90" s="7">
        <f t="shared" si="4"/>
        <v>89</v>
      </c>
      <c r="B90" s="7">
        <f t="shared" si="5"/>
        <v>100</v>
      </c>
      <c r="C90" s="7" t="str">
        <f>'1_RawData'!A90</f>
        <v>1956-05</v>
      </c>
      <c r="D90" s="7" t="str">
        <f>'1_RawData'!A101</f>
        <v>1957-04</v>
      </c>
      <c r="E90" s="8">
        <f>'2_Preprocessed'!$D90</f>
        <v>0.66446307328449994</v>
      </c>
      <c r="F90" s="8">
        <f>'2_Preprocessed'!$D91</f>
        <v>1.055653066084856</v>
      </c>
      <c r="G90" s="8">
        <f>'2_Preprocessed'!$D92</f>
        <v>1.2948749015272529</v>
      </c>
      <c r="H90" s="8">
        <f>'2_Preprocessed'!$D93</f>
        <v>1.2477005876502856</v>
      </c>
      <c r="I90" s="8">
        <f>'2_Preprocessed'!$D94</f>
        <v>0.92991131610656719</v>
      </c>
      <c r="J90" s="8">
        <f>'2_Preprocessed'!$D95</f>
        <v>0.57169356294778828</v>
      </c>
      <c r="K90" s="8">
        <f>'2_Preprocessed'!$D96</f>
        <v>0.27875213021662587</v>
      </c>
      <c r="L90" s="8">
        <f>'2_Preprocessed'!$D97</f>
        <v>0.57169356294778828</v>
      </c>
      <c r="M90" s="8">
        <f>'2_Preprocessed'!$D98</f>
        <v>0.64160309263790005</v>
      </c>
      <c r="N90" s="8">
        <f>'2_Preprocessed'!$D99</f>
        <v>0.53196103494259028</v>
      </c>
      <c r="O90" s="8">
        <f>'2_Preprocessed'!$D100</f>
        <v>0.93669531467618794</v>
      </c>
      <c r="P90" s="8">
        <f>'2_Preprocessed'!$D101</f>
        <v>0.88188136651431936</v>
      </c>
      <c r="Q90" s="8">
        <f>'2_Preprocessed'!$D102</f>
        <v>0.92991131610656719</v>
      </c>
      <c r="R90" s="9">
        <f t="shared" si="3"/>
        <v>2.9555417663767742</v>
      </c>
    </row>
    <row r="91" spans="1:18">
      <c r="A91" s="7">
        <f t="shared" si="4"/>
        <v>90</v>
      </c>
      <c r="B91" s="7">
        <f t="shared" si="5"/>
        <v>101</v>
      </c>
      <c r="C91" s="7" t="str">
        <f>'1_RawData'!A91</f>
        <v>1956-06</v>
      </c>
      <c r="D91" s="7" t="str">
        <f>'1_RawData'!A102</f>
        <v>1957-05</v>
      </c>
      <c r="E91" s="8">
        <f>'2_Preprocessed'!$D91</f>
        <v>1.055653066084856</v>
      </c>
      <c r="F91" s="8">
        <f>'2_Preprocessed'!$D92</f>
        <v>1.2948749015272529</v>
      </c>
      <c r="G91" s="8">
        <f>'2_Preprocessed'!$D93</f>
        <v>1.2477005876502856</v>
      </c>
      <c r="H91" s="8">
        <f>'2_Preprocessed'!$D94</f>
        <v>0.92991131610656719</v>
      </c>
      <c r="I91" s="8">
        <f>'2_Preprocessed'!$D95</f>
        <v>0.57169356294778828</v>
      </c>
      <c r="J91" s="8">
        <f>'2_Preprocessed'!$D96</f>
        <v>0.27875213021662587</v>
      </c>
      <c r="K91" s="8">
        <f>'2_Preprocessed'!$D97</f>
        <v>0.57169356294778828</v>
      </c>
      <c r="L91" s="8">
        <f>'2_Preprocessed'!$D98</f>
        <v>0.64160309263790005</v>
      </c>
      <c r="M91" s="8">
        <f>'2_Preprocessed'!$D99</f>
        <v>0.53196103494259028</v>
      </c>
      <c r="N91" s="8">
        <f>'2_Preprocessed'!$D100</f>
        <v>0.93669531467618794</v>
      </c>
      <c r="O91" s="8">
        <f>'2_Preprocessed'!$D101</f>
        <v>0.88188136651431936</v>
      </c>
      <c r="P91" s="8">
        <f>'2_Preprocessed'!$D102</f>
        <v>0.92991131610656719</v>
      </c>
      <c r="Q91" s="8">
        <f>'2_Preprocessed'!$D103</f>
        <v>1.3468658708921948</v>
      </c>
      <c r="R91" s="9">
        <f t="shared" si="3"/>
        <v>3.0262932793868322</v>
      </c>
    </row>
    <row r="92" spans="1:18">
      <c r="A92" s="7">
        <f t="shared" si="4"/>
        <v>91</v>
      </c>
      <c r="B92" s="7">
        <f t="shared" si="5"/>
        <v>102</v>
      </c>
      <c r="C92" s="7" t="str">
        <f>'1_RawData'!A92</f>
        <v>1956-07</v>
      </c>
      <c r="D92" s="7" t="str">
        <f>'1_RawData'!A103</f>
        <v>1957-06</v>
      </c>
      <c r="E92" s="8">
        <f>'2_Preprocessed'!$D92</f>
        <v>1.2948749015272529</v>
      </c>
      <c r="F92" s="8">
        <f>'2_Preprocessed'!$D93</f>
        <v>1.2477005876502856</v>
      </c>
      <c r="G92" s="8">
        <f>'2_Preprocessed'!$D94</f>
        <v>0.92991131610656719</v>
      </c>
      <c r="H92" s="8">
        <f>'2_Preprocessed'!$D95</f>
        <v>0.57169356294778828</v>
      </c>
      <c r="I92" s="8">
        <f>'2_Preprocessed'!$D96</f>
        <v>0.27875213021662587</v>
      </c>
      <c r="J92" s="8">
        <f>'2_Preprocessed'!$D97</f>
        <v>0.57169356294778828</v>
      </c>
      <c r="K92" s="8">
        <f>'2_Preprocessed'!$D98</f>
        <v>0.64160309263790005</v>
      </c>
      <c r="L92" s="8">
        <f>'2_Preprocessed'!$D99</f>
        <v>0.53196103494259028</v>
      </c>
      <c r="M92" s="8">
        <f>'2_Preprocessed'!$D100</f>
        <v>0.93669531467618794</v>
      </c>
      <c r="N92" s="8">
        <f>'2_Preprocessed'!$D101</f>
        <v>0.88188136651431936</v>
      </c>
      <c r="O92" s="8">
        <f>'2_Preprocessed'!$D102</f>
        <v>0.92991131610656719</v>
      </c>
      <c r="P92" s="8">
        <f>'2_Preprocessed'!$D103</f>
        <v>1.3468658708921948</v>
      </c>
      <c r="Q92" s="8">
        <f>'2_Preprocessed'!$D104</f>
        <v>1.5808791268256994</v>
      </c>
      <c r="R92" s="9">
        <f t="shared" si="3"/>
        <v>3.1397603875298739</v>
      </c>
    </row>
    <row r="93" spans="1:18">
      <c r="A93" s="7">
        <f t="shared" si="4"/>
        <v>92</v>
      </c>
      <c r="B93" s="7">
        <f t="shared" si="5"/>
        <v>103</v>
      </c>
      <c r="C93" s="7" t="str">
        <f>'1_RawData'!A93</f>
        <v>1956-08</v>
      </c>
      <c r="D93" s="7" t="str">
        <f>'1_RawData'!A104</f>
        <v>1957-07</v>
      </c>
      <c r="E93" s="8">
        <f>'2_Preprocessed'!$D93</f>
        <v>1.2477005876502856</v>
      </c>
      <c r="F93" s="8">
        <f>'2_Preprocessed'!$D94</f>
        <v>0.92991131610656719</v>
      </c>
      <c r="G93" s="8">
        <f>'2_Preprocessed'!$D95</f>
        <v>0.57169356294778828</v>
      </c>
      <c r="H93" s="8">
        <f>'2_Preprocessed'!$D96</f>
        <v>0.27875213021662587</v>
      </c>
      <c r="I93" s="8">
        <f>'2_Preprocessed'!$D97</f>
        <v>0.57169356294778828</v>
      </c>
      <c r="J93" s="8">
        <f>'2_Preprocessed'!$D98</f>
        <v>0.64160309263790005</v>
      </c>
      <c r="K93" s="8">
        <f>'2_Preprocessed'!$D99</f>
        <v>0.53196103494259028</v>
      </c>
      <c r="L93" s="8">
        <f>'2_Preprocessed'!$D100</f>
        <v>0.93669531467618794</v>
      </c>
      <c r="M93" s="8">
        <f>'2_Preprocessed'!$D101</f>
        <v>0.88188136651431936</v>
      </c>
      <c r="N93" s="8">
        <f>'2_Preprocessed'!$D102</f>
        <v>0.92991131610656719</v>
      </c>
      <c r="O93" s="8">
        <f>'2_Preprocessed'!$D103</f>
        <v>1.3468658708921948</v>
      </c>
      <c r="P93" s="8">
        <f>'2_Preprocessed'!$D104</f>
        <v>1.5808791268256994</v>
      </c>
      <c r="Q93" s="8">
        <f>'2_Preprocessed'!$D105</f>
        <v>1.5912298289854596</v>
      </c>
      <c r="R93" s="9">
        <f t="shared" si="3"/>
        <v>3.2681146084753077</v>
      </c>
    </row>
    <row r="94" spans="1:18">
      <c r="A94" s="7">
        <f t="shared" si="4"/>
        <v>93</v>
      </c>
      <c r="B94" s="7">
        <f t="shared" si="5"/>
        <v>104</v>
      </c>
      <c r="C94" s="7" t="str">
        <f>'1_RawData'!A94</f>
        <v>1956-09</v>
      </c>
      <c r="D94" s="7" t="str">
        <f>'1_RawData'!A105</f>
        <v>1957-08</v>
      </c>
      <c r="E94" s="8">
        <f>'2_Preprocessed'!$D94</f>
        <v>0.92991131610656719</v>
      </c>
      <c r="F94" s="8">
        <f>'2_Preprocessed'!$D95</f>
        <v>0.57169356294778828</v>
      </c>
      <c r="G94" s="8">
        <f>'2_Preprocessed'!$D96</f>
        <v>0.27875213021662587</v>
      </c>
      <c r="H94" s="8">
        <f>'2_Preprocessed'!$D97</f>
        <v>0.57169356294778828</v>
      </c>
      <c r="I94" s="8">
        <f>'2_Preprocessed'!$D98</f>
        <v>0.64160309263790005</v>
      </c>
      <c r="J94" s="8">
        <f>'2_Preprocessed'!$D99</f>
        <v>0.53196103494259028</v>
      </c>
      <c r="K94" s="8">
        <f>'2_Preprocessed'!$D100</f>
        <v>0.93669531467618794</v>
      </c>
      <c r="L94" s="8">
        <f>'2_Preprocessed'!$D101</f>
        <v>0.88188136651431936</v>
      </c>
      <c r="M94" s="8">
        <f>'2_Preprocessed'!$D102</f>
        <v>0.92991131610656719</v>
      </c>
      <c r="N94" s="8">
        <f>'2_Preprocessed'!$D103</f>
        <v>1.3468658708921948</v>
      </c>
      <c r="O94" s="8">
        <f>'2_Preprocessed'!$D104</f>
        <v>1.5808791268256994</v>
      </c>
      <c r="P94" s="8">
        <f>'2_Preprocessed'!$D105</f>
        <v>1.5912298289854596</v>
      </c>
      <c r="Q94" s="8">
        <f>'2_Preprocessed'!$D106</f>
        <v>1.2417383846105865</v>
      </c>
      <c r="R94" s="9">
        <f t="shared" si="3"/>
        <v>3.414063371755121</v>
      </c>
    </row>
    <row r="95" spans="1:18">
      <c r="A95" s="7">
        <f t="shared" si="4"/>
        <v>94</v>
      </c>
      <c r="B95" s="7">
        <f t="shared" si="5"/>
        <v>105</v>
      </c>
      <c r="C95" s="7" t="str">
        <f>'1_RawData'!A95</f>
        <v>1956-10</v>
      </c>
      <c r="D95" s="7" t="str">
        <f>'1_RawData'!A106</f>
        <v>1957-09</v>
      </c>
      <c r="E95" s="8">
        <f>'2_Preprocessed'!$D95</f>
        <v>0.57169356294778828</v>
      </c>
      <c r="F95" s="8">
        <f>'2_Preprocessed'!$D96</f>
        <v>0.27875213021662587</v>
      </c>
      <c r="G95" s="8">
        <f>'2_Preprocessed'!$D97</f>
        <v>0.57169356294778828</v>
      </c>
      <c r="H95" s="8">
        <f>'2_Preprocessed'!$D98</f>
        <v>0.64160309263790005</v>
      </c>
      <c r="I95" s="8">
        <f>'2_Preprocessed'!$D99</f>
        <v>0.53196103494259028</v>
      </c>
      <c r="J95" s="8">
        <f>'2_Preprocessed'!$D100</f>
        <v>0.93669531467618794</v>
      </c>
      <c r="K95" s="8">
        <f>'2_Preprocessed'!$D101</f>
        <v>0.88188136651431936</v>
      </c>
      <c r="L95" s="8">
        <f>'2_Preprocessed'!$D102</f>
        <v>0.92991131610656719</v>
      </c>
      <c r="M95" s="8">
        <f>'2_Preprocessed'!$D103</f>
        <v>1.3468658708921948</v>
      </c>
      <c r="N95" s="8">
        <f>'2_Preprocessed'!$D104</f>
        <v>1.5808791268256994</v>
      </c>
      <c r="O95" s="8">
        <f>'2_Preprocessed'!$D105</f>
        <v>1.5912298289854596</v>
      </c>
      <c r="P95" s="8">
        <f>'2_Preprocessed'!$D106</f>
        <v>1.2417383846105865</v>
      </c>
      <c r="Q95" s="8">
        <f>'2_Preprocessed'!$D107</f>
        <v>0.87494118934723042</v>
      </c>
      <c r="R95" s="9">
        <f t="shared" si="3"/>
        <v>3.5118382460404129</v>
      </c>
    </row>
    <row r="96" spans="1:18">
      <c r="A96" s="7">
        <f t="shared" si="4"/>
        <v>95</v>
      </c>
      <c r="B96" s="7">
        <f t="shared" si="5"/>
        <v>106</v>
      </c>
      <c r="C96" s="7" t="str">
        <f>'1_RawData'!A96</f>
        <v>1956-11</v>
      </c>
      <c r="D96" s="7" t="str">
        <f>'1_RawData'!A107</f>
        <v>1957-10</v>
      </c>
      <c r="E96" s="8">
        <f>'2_Preprocessed'!$D96</f>
        <v>0.27875213021662587</v>
      </c>
      <c r="F96" s="8">
        <f>'2_Preprocessed'!$D97</f>
        <v>0.57169356294778828</v>
      </c>
      <c r="G96" s="8">
        <f>'2_Preprocessed'!$D98</f>
        <v>0.64160309263790005</v>
      </c>
      <c r="H96" s="8">
        <f>'2_Preprocessed'!$D99</f>
        <v>0.53196103494259028</v>
      </c>
      <c r="I96" s="8">
        <f>'2_Preprocessed'!$D100</f>
        <v>0.93669531467618794</v>
      </c>
      <c r="J96" s="8">
        <f>'2_Preprocessed'!$D101</f>
        <v>0.88188136651431936</v>
      </c>
      <c r="K96" s="8">
        <f>'2_Preprocessed'!$D102</f>
        <v>0.92991131610656719</v>
      </c>
      <c r="L96" s="8">
        <f>'2_Preprocessed'!$D103</f>
        <v>1.3468658708921948</v>
      </c>
      <c r="M96" s="8">
        <f>'2_Preprocessed'!$D104</f>
        <v>1.5808791268256994</v>
      </c>
      <c r="N96" s="8">
        <f>'2_Preprocessed'!$D105</f>
        <v>1.5912298289854596</v>
      </c>
      <c r="O96" s="8">
        <f>'2_Preprocessed'!$D106</f>
        <v>1.2417383846105865</v>
      </c>
      <c r="P96" s="8">
        <f>'2_Preprocessed'!$D107</f>
        <v>0.87494118934723042</v>
      </c>
      <c r="Q96" s="8">
        <f>'2_Preprocessed'!$D108</f>
        <v>0.56379925180330992</v>
      </c>
      <c r="R96" s="9">
        <f t="shared" si="3"/>
        <v>3.5737510295560062</v>
      </c>
    </row>
    <row r="97" spans="1:18">
      <c r="A97" s="7">
        <f t="shared" si="4"/>
        <v>96</v>
      </c>
      <c r="B97" s="7">
        <f t="shared" si="5"/>
        <v>107</v>
      </c>
      <c r="C97" s="7" t="str">
        <f>'1_RawData'!A97</f>
        <v>1956-12</v>
      </c>
      <c r="D97" s="7" t="str">
        <f>'1_RawData'!A108</f>
        <v>1957-11</v>
      </c>
      <c r="E97" s="8">
        <f>'2_Preprocessed'!$D97</f>
        <v>0.57169356294778828</v>
      </c>
      <c r="F97" s="8">
        <f>'2_Preprocessed'!$D98</f>
        <v>0.64160309263790005</v>
      </c>
      <c r="G97" s="8">
        <f>'2_Preprocessed'!$D99</f>
        <v>0.53196103494259028</v>
      </c>
      <c r="H97" s="8">
        <f>'2_Preprocessed'!$D100</f>
        <v>0.93669531467618794</v>
      </c>
      <c r="I97" s="8">
        <f>'2_Preprocessed'!$D101</f>
        <v>0.88188136651431936</v>
      </c>
      <c r="J97" s="8">
        <f>'2_Preprocessed'!$D102</f>
        <v>0.92991131610656719</v>
      </c>
      <c r="K97" s="8">
        <f>'2_Preprocessed'!$D103</f>
        <v>1.3468658708921948</v>
      </c>
      <c r="L97" s="8">
        <f>'2_Preprocessed'!$D104</f>
        <v>1.5808791268256994</v>
      </c>
      <c r="M97" s="8">
        <f>'2_Preprocessed'!$D105</f>
        <v>1.5912298289854596</v>
      </c>
      <c r="N97" s="8">
        <f>'2_Preprocessed'!$D106</f>
        <v>1.2417383846105865</v>
      </c>
      <c r="O97" s="8">
        <f>'2_Preprocessed'!$D107</f>
        <v>0.87494118934723042</v>
      </c>
      <c r="P97" s="8">
        <f>'2_Preprocessed'!$D108</f>
        <v>0.56379925180330992</v>
      </c>
      <c r="Q97" s="8">
        <f>'2_Preprocessed'!$D109</f>
        <v>0.79725128307750059</v>
      </c>
      <c r="R97" s="9">
        <f t="shared" si="3"/>
        <v>3.6071960395141098</v>
      </c>
    </row>
    <row r="98" spans="1:18">
      <c r="A98" s="7">
        <f t="shared" si="4"/>
        <v>97</v>
      </c>
      <c r="B98" s="7">
        <f t="shared" si="5"/>
        <v>108</v>
      </c>
      <c r="C98" s="7" t="str">
        <f>'1_RawData'!A98</f>
        <v>1957-01</v>
      </c>
      <c r="D98" s="7" t="str">
        <f>'1_RawData'!A109</f>
        <v>1957-12</v>
      </c>
      <c r="E98" s="8">
        <f>'2_Preprocessed'!$D98</f>
        <v>0.64160309263790005</v>
      </c>
      <c r="F98" s="8">
        <f>'2_Preprocessed'!$D99</f>
        <v>0.53196103494259028</v>
      </c>
      <c r="G98" s="8">
        <f>'2_Preprocessed'!$D100</f>
        <v>0.93669531467618794</v>
      </c>
      <c r="H98" s="8">
        <f>'2_Preprocessed'!$D101</f>
        <v>0.88188136651431936</v>
      </c>
      <c r="I98" s="8">
        <f>'2_Preprocessed'!$D102</f>
        <v>0.92991131610656719</v>
      </c>
      <c r="J98" s="8">
        <f>'2_Preprocessed'!$D103</f>
        <v>1.3468658708921948</v>
      </c>
      <c r="K98" s="8">
        <f>'2_Preprocessed'!$D104</f>
        <v>1.5808791268256994</v>
      </c>
      <c r="L98" s="8">
        <f>'2_Preprocessed'!$D105</f>
        <v>1.5912298289854596</v>
      </c>
      <c r="M98" s="8">
        <f>'2_Preprocessed'!$D106</f>
        <v>1.2417383846105865</v>
      </c>
      <c r="N98" s="8">
        <f>'2_Preprocessed'!$D107</f>
        <v>0.87494118934723042</v>
      </c>
      <c r="O98" s="8">
        <f>'2_Preprocessed'!$D108</f>
        <v>0.56379925180330992</v>
      </c>
      <c r="P98" s="8">
        <f>'2_Preprocessed'!$D109</f>
        <v>0.79725128307750059</v>
      </c>
      <c r="Q98" s="8">
        <f>'2_Preprocessed'!$D110</f>
        <v>0.82579256176071836</v>
      </c>
      <c r="R98" s="9">
        <f t="shared" si="3"/>
        <v>3.6497451069820017</v>
      </c>
    </row>
    <row r="99" spans="1:18">
      <c r="A99" s="7">
        <f t="shared" si="4"/>
        <v>98</v>
      </c>
      <c r="B99" s="7">
        <f t="shared" si="5"/>
        <v>109</v>
      </c>
      <c r="C99" s="7" t="str">
        <f>'1_RawData'!A99</f>
        <v>1957-02</v>
      </c>
      <c r="D99" s="7" t="str">
        <f>'1_RawData'!A110</f>
        <v>1958-01</v>
      </c>
      <c r="E99" s="8">
        <f>'2_Preprocessed'!$D99</f>
        <v>0.53196103494259028</v>
      </c>
      <c r="F99" s="8">
        <f>'2_Preprocessed'!$D100</f>
        <v>0.93669531467618794</v>
      </c>
      <c r="G99" s="8">
        <f>'2_Preprocessed'!$D101</f>
        <v>0.88188136651431936</v>
      </c>
      <c r="H99" s="8">
        <f>'2_Preprocessed'!$D102</f>
        <v>0.92991131610656719</v>
      </c>
      <c r="I99" s="8">
        <f>'2_Preprocessed'!$D103</f>
        <v>1.3468658708921948</v>
      </c>
      <c r="J99" s="8">
        <f>'2_Preprocessed'!$D104</f>
        <v>1.5808791268256994</v>
      </c>
      <c r="K99" s="8">
        <f>'2_Preprocessed'!$D105</f>
        <v>1.5912298289854596</v>
      </c>
      <c r="L99" s="8">
        <f>'2_Preprocessed'!$D106</f>
        <v>1.2417383846105865</v>
      </c>
      <c r="M99" s="8">
        <f>'2_Preprocessed'!$D107</f>
        <v>0.87494118934723042</v>
      </c>
      <c r="N99" s="8">
        <f>'2_Preprocessed'!$D108</f>
        <v>0.56379925180330992</v>
      </c>
      <c r="O99" s="8">
        <f>'2_Preprocessed'!$D109</f>
        <v>0.79725128307750059</v>
      </c>
      <c r="P99" s="8">
        <f>'2_Preprocessed'!$D110</f>
        <v>0.82579256176071836</v>
      </c>
      <c r="Q99" s="8">
        <f>'2_Preprocessed'!$D111</f>
        <v>0.66446307328449994</v>
      </c>
      <c r="R99" s="9">
        <f t="shared" si="3"/>
        <v>3.6865862491627506</v>
      </c>
    </row>
    <row r="100" spans="1:18">
      <c r="A100" s="7">
        <f t="shared" si="4"/>
        <v>99</v>
      </c>
      <c r="B100" s="7">
        <f t="shared" si="5"/>
        <v>110</v>
      </c>
      <c r="C100" s="7" t="str">
        <f>'1_RawData'!A100</f>
        <v>1957-03</v>
      </c>
      <c r="D100" s="7" t="str">
        <f>'1_RawData'!A111</f>
        <v>1958-02</v>
      </c>
      <c r="E100" s="8">
        <f>'2_Preprocessed'!$D100</f>
        <v>0.93669531467618794</v>
      </c>
      <c r="F100" s="8">
        <f>'2_Preprocessed'!$D101</f>
        <v>0.88188136651431936</v>
      </c>
      <c r="G100" s="8">
        <f>'2_Preprocessed'!$D102</f>
        <v>0.92991131610656719</v>
      </c>
      <c r="H100" s="8">
        <f>'2_Preprocessed'!$D103</f>
        <v>1.3468658708921948</v>
      </c>
      <c r="I100" s="8">
        <f>'2_Preprocessed'!$D104</f>
        <v>1.5808791268256994</v>
      </c>
      <c r="J100" s="8">
        <f>'2_Preprocessed'!$D105</f>
        <v>1.5912298289854596</v>
      </c>
      <c r="K100" s="8">
        <f>'2_Preprocessed'!$D106</f>
        <v>1.2417383846105865</v>
      </c>
      <c r="L100" s="8">
        <f>'2_Preprocessed'!$D107</f>
        <v>0.87494118934723042</v>
      </c>
      <c r="M100" s="8">
        <f>'2_Preprocessed'!$D108</f>
        <v>0.56379925180330992</v>
      </c>
      <c r="N100" s="8">
        <f>'2_Preprocessed'!$D109</f>
        <v>0.79725128307750059</v>
      </c>
      <c r="O100" s="8">
        <f>'2_Preprocessed'!$D110</f>
        <v>0.82579256176071836</v>
      </c>
      <c r="P100" s="8">
        <f>'2_Preprocessed'!$D111</f>
        <v>0.66446307328449994</v>
      </c>
      <c r="Q100" s="8">
        <f>'2_Preprocessed'!$D112</f>
        <v>0.97700338222493543</v>
      </c>
      <c r="R100" s="9">
        <f t="shared" si="3"/>
        <v>3.7080246500768261</v>
      </c>
    </row>
    <row r="101" spans="1:18">
      <c r="A101" s="7">
        <f t="shared" si="4"/>
        <v>100</v>
      </c>
      <c r="B101" s="7">
        <f t="shared" si="5"/>
        <v>111</v>
      </c>
      <c r="C101" s="7" t="str">
        <f>'1_RawData'!A101</f>
        <v>1957-04</v>
      </c>
      <c r="D101" s="7" t="str">
        <f>'1_RawData'!A112</f>
        <v>1958-03</v>
      </c>
      <c r="E101" s="8">
        <f>'2_Preprocessed'!$D101</f>
        <v>0.88188136651431936</v>
      </c>
      <c r="F101" s="8">
        <f>'2_Preprocessed'!$D102</f>
        <v>0.92991131610656719</v>
      </c>
      <c r="G101" s="8">
        <f>'2_Preprocessed'!$D103</f>
        <v>1.3468658708921948</v>
      </c>
      <c r="H101" s="8">
        <f>'2_Preprocessed'!$D104</f>
        <v>1.5808791268256994</v>
      </c>
      <c r="I101" s="8">
        <f>'2_Preprocessed'!$D105</f>
        <v>1.5912298289854596</v>
      </c>
      <c r="J101" s="8">
        <f>'2_Preprocessed'!$D106</f>
        <v>1.2417383846105865</v>
      </c>
      <c r="K101" s="8">
        <f>'2_Preprocessed'!$D107</f>
        <v>0.87494118934723042</v>
      </c>
      <c r="L101" s="8">
        <f>'2_Preprocessed'!$D108</f>
        <v>0.56379925180330992</v>
      </c>
      <c r="M101" s="8">
        <f>'2_Preprocessed'!$D109</f>
        <v>0.79725128307750059</v>
      </c>
      <c r="N101" s="8">
        <f>'2_Preprocessed'!$D110</f>
        <v>0.82579256176071836</v>
      </c>
      <c r="O101" s="8">
        <f>'2_Preprocessed'!$D111</f>
        <v>0.66446307328449994</v>
      </c>
      <c r="P101" s="8">
        <f>'2_Preprocessed'!$D112</f>
        <v>0.97700338222493543</v>
      </c>
      <c r="Q101" s="8">
        <f>'2_Preprocessed'!$D113</f>
        <v>0.88188136651431936</v>
      </c>
      <c r="R101" s="9">
        <f t="shared" si="3"/>
        <v>3.7184115293926259</v>
      </c>
    </row>
    <row r="102" spans="1:18">
      <c r="A102" s="7">
        <f t="shared" si="4"/>
        <v>101</v>
      </c>
      <c r="B102" s="7">
        <f t="shared" si="5"/>
        <v>112</v>
      </c>
      <c r="C102" s="7" t="str">
        <f>'1_RawData'!A102</f>
        <v>1957-05</v>
      </c>
      <c r="D102" s="7" t="str">
        <f>'1_RawData'!A113</f>
        <v>1958-04</v>
      </c>
      <c r="E102" s="8">
        <f>'2_Preprocessed'!$D102</f>
        <v>0.92991131610656719</v>
      </c>
      <c r="F102" s="8">
        <f>'2_Preprocessed'!$D103</f>
        <v>1.3468658708921948</v>
      </c>
      <c r="G102" s="8">
        <f>'2_Preprocessed'!$D104</f>
        <v>1.5808791268256994</v>
      </c>
      <c r="H102" s="8">
        <f>'2_Preprocessed'!$D105</f>
        <v>1.5912298289854596</v>
      </c>
      <c r="I102" s="8">
        <f>'2_Preprocessed'!$D106</f>
        <v>1.2417383846105865</v>
      </c>
      <c r="J102" s="8">
        <f>'2_Preprocessed'!$D107</f>
        <v>0.87494118934723042</v>
      </c>
      <c r="K102" s="8">
        <f>'2_Preprocessed'!$D108</f>
        <v>0.56379925180330992</v>
      </c>
      <c r="L102" s="8">
        <f>'2_Preprocessed'!$D109</f>
        <v>0.79725128307750059</v>
      </c>
      <c r="M102" s="8">
        <f>'2_Preprocessed'!$D110</f>
        <v>0.82579256176071836</v>
      </c>
      <c r="N102" s="8">
        <f>'2_Preprocessed'!$D111</f>
        <v>0.66446307328449994</v>
      </c>
      <c r="O102" s="8">
        <f>'2_Preprocessed'!$D112</f>
        <v>0.97700338222493543</v>
      </c>
      <c r="P102" s="8">
        <f>'2_Preprocessed'!$D113</f>
        <v>0.88188136651431936</v>
      </c>
      <c r="Q102" s="8">
        <f>'2_Preprocessed'!$D114</f>
        <v>0.98365637927507643</v>
      </c>
      <c r="R102" s="9">
        <f t="shared" si="3"/>
        <v>3.7184115293926259</v>
      </c>
    </row>
    <row r="103" spans="1:18">
      <c r="A103" s="7">
        <f t="shared" si="4"/>
        <v>102</v>
      </c>
      <c r="B103" s="7">
        <f t="shared" si="5"/>
        <v>113</v>
      </c>
      <c r="C103" s="7" t="str">
        <f>'1_RawData'!A103</f>
        <v>1957-06</v>
      </c>
      <c r="D103" s="7" t="str">
        <f>'1_RawData'!A114</f>
        <v>1958-05</v>
      </c>
      <c r="E103" s="8">
        <f>'2_Preprocessed'!$D103</f>
        <v>1.3468658708921948</v>
      </c>
      <c r="F103" s="8">
        <f>'2_Preprocessed'!$D104</f>
        <v>1.5808791268256994</v>
      </c>
      <c r="G103" s="8">
        <f>'2_Preprocessed'!$D105</f>
        <v>1.5912298289854596</v>
      </c>
      <c r="H103" s="8">
        <f>'2_Preprocessed'!$D106</f>
        <v>1.2417383846105865</v>
      </c>
      <c r="I103" s="8">
        <f>'2_Preprocessed'!$D107</f>
        <v>0.87494118934723042</v>
      </c>
      <c r="J103" s="8">
        <f>'2_Preprocessed'!$D108</f>
        <v>0.56379925180330992</v>
      </c>
      <c r="K103" s="8">
        <f>'2_Preprocessed'!$D109</f>
        <v>0.79725128307750059</v>
      </c>
      <c r="L103" s="8">
        <f>'2_Preprocessed'!$D110</f>
        <v>0.82579256176071836</v>
      </c>
      <c r="M103" s="8">
        <f>'2_Preprocessed'!$D111</f>
        <v>0.66446307328449994</v>
      </c>
      <c r="N103" s="8">
        <f>'2_Preprocessed'!$D112</f>
        <v>0.97700338222493543</v>
      </c>
      <c r="O103" s="8">
        <f>'2_Preprocessed'!$D113</f>
        <v>0.88188136651431936</v>
      </c>
      <c r="P103" s="8">
        <f>'2_Preprocessed'!$D114</f>
        <v>0.98365637927507643</v>
      </c>
      <c r="Q103" s="8">
        <f>'2_Preprocessed'!$D115</f>
        <v>1.4200388786191902</v>
      </c>
      <c r="R103" s="9">
        <f t="shared" si="3"/>
        <v>3.7322150418465321</v>
      </c>
    </row>
    <row r="104" spans="1:18">
      <c r="A104" s="7">
        <f t="shared" si="4"/>
        <v>103</v>
      </c>
      <c r="B104" s="7">
        <f t="shared" si="5"/>
        <v>114</v>
      </c>
      <c r="C104" s="7" t="str">
        <f>'1_RawData'!A104</f>
        <v>1957-07</v>
      </c>
      <c r="D104" s="7" t="str">
        <f>'1_RawData'!A115</f>
        <v>1958-06</v>
      </c>
      <c r="E104" s="8">
        <f>'2_Preprocessed'!$D104</f>
        <v>1.5808791268256994</v>
      </c>
      <c r="F104" s="8">
        <f>'2_Preprocessed'!$D105</f>
        <v>1.5912298289854596</v>
      </c>
      <c r="G104" s="8">
        <f>'2_Preprocessed'!$D106</f>
        <v>1.2417383846105865</v>
      </c>
      <c r="H104" s="8">
        <f>'2_Preprocessed'!$D107</f>
        <v>0.87494118934723042</v>
      </c>
      <c r="I104" s="8">
        <f>'2_Preprocessed'!$D108</f>
        <v>0.56379925180330992</v>
      </c>
      <c r="J104" s="8">
        <f>'2_Preprocessed'!$D109</f>
        <v>0.79725128307750059</v>
      </c>
      <c r="K104" s="8">
        <f>'2_Preprocessed'!$D110</f>
        <v>0.82579256176071836</v>
      </c>
      <c r="L104" s="8">
        <f>'2_Preprocessed'!$D111</f>
        <v>0.66446307328449994</v>
      </c>
      <c r="M104" s="8">
        <f>'2_Preprocessed'!$D112</f>
        <v>0.97700338222493543</v>
      </c>
      <c r="N104" s="8">
        <f>'2_Preprocessed'!$D113</f>
        <v>0.88188136651431936</v>
      </c>
      <c r="O104" s="8">
        <f>'2_Preprocessed'!$D114</f>
        <v>0.98365637927507643</v>
      </c>
      <c r="P104" s="8">
        <f>'2_Preprocessed'!$D115</f>
        <v>1.4200388786191902</v>
      </c>
      <c r="Q104" s="8">
        <f>'2_Preprocessed'!$D116</f>
        <v>1.7120923574673503</v>
      </c>
      <c r="R104" s="9">
        <f t="shared" si="3"/>
        <v>3.7592408623552398</v>
      </c>
    </row>
    <row r="105" spans="1:18">
      <c r="A105" s="7">
        <f t="shared" si="4"/>
        <v>104</v>
      </c>
      <c r="B105" s="7">
        <f t="shared" si="5"/>
        <v>115</v>
      </c>
      <c r="C105" s="7" t="str">
        <f>'1_RawData'!A105</f>
        <v>1957-08</v>
      </c>
      <c r="D105" s="7" t="str">
        <f>'1_RawData'!A116</f>
        <v>1958-07</v>
      </c>
      <c r="E105" s="8">
        <f>'2_Preprocessed'!$D105</f>
        <v>1.5912298289854596</v>
      </c>
      <c r="F105" s="8">
        <f>'2_Preprocessed'!$D106</f>
        <v>1.2417383846105865</v>
      </c>
      <c r="G105" s="8">
        <f>'2_Preprocessed'!$D107</f>
        <v>0.87494118934723042</v>
      </c>
      <c r="H105" s="8">
        <f>'2_Preprocessed'!$D108</f>
        <v>0.56379925180330992</v>
      </c>
      <c r="I105" s="8">
        <f>'2_Preprocessed'!$D109</f>
        <v>0.79725128307750059</v>
      </c>
      <c r="J105" s="8">
        <f>'2_Preprocessed'!$D110</f>
        <v>0.82579256176071836</v>
      </c>
      <c r="K105" s="8">
        <f>'2_Preprocessed'!$D111</f>
        <v>0.66446307328449994</v>
      </c>
      <c r="L105" s="8">
        <f>'2_Preprocessed'!$D112</f>
        <v>0.97700338222493543</v>
      </c>
      <c r="M105" s="8">
        <f>'2_Preprocessed'!$D113</f>
        <v>0.88188136651431936</v>
      </c>
      <c r="N105" s="8">
        <f>'2_Preprocessed'!$D114</f>
        <v>0.98365637927507643</v>
      </c>
      <c r="O105" s="8">
        <f>'2_Preprocessed'!$D115</f>
        <v>1.4200388786191902</v>
      </c>
      <c r="P105" s="8">
        <f>'2_Preprocessed'!$D116</f>
        <v>1.7120923574673503</v>
      </c>
      <c r="Q105" s="8">
        <f>'2_Preprocessed'!$D117</f>
        <v>1.7798958967154574</v>
      </c>
      <c r="R105" s="9">
        <f t="shared" si="3"/>
        <v>3.8162774123570067</v>
      </c>
    </row>
    <row r="106" spans="1:18">
      <c r="A106" s="7">
        <f t="shared" si="4"/>
        <v>105</v>
      </c>
      <c r="B106" s="7">
        <f t="shared" si="5"/>
        <v>116</v>
      </c>
      <c r="C106" s="7" t="str">
        <f>'1_RawData'!A106</f>
        <v>1957-09</v>
      </c>
      <c r="D106" s="7" t="str">
        <f>'1_RawData'!A117</f>
        <v>1958-08</v>
      </c>
      <c r="E106" s="8">
        <f>'2_Preprocessed'!$D106</f>
        <v>1.2417383846105865</v>
      </c>
      <c r="F106" s="8">
        <f>'2_Preprocessed'!$D107</f>
        <v>0.87494118934723042</v>
      </c>
      <c r="G106" s="8">
        <f>'2_Preprocessed'!$D108</f>
        <v>0.56379925180330992</v>
      </c>
      <c r="H106" s="8">
        <f>'2_Preprocessed'!$D109</f>
        <v>0.79725128307750059</v>
      </c>
      <c r="I106" s="8">
        <f>'2_Preprocessed'!$D110</f>
        <v>0.82579256176071836</v>
      </c>
      <c r="J106" s="8">
        <f>'2_Preprocessed'!$D111</f>
        <v>0.66446307328449994</v>
      </c>
      <c r="K106" s="8">
        <f>'2_Preprocessed'!$D112</f>
        <v>0.97700338222493543</v>
      </c>
      <c r="L106" s="8">
        <f>'2_Preprocessed'!$D113</f>
        <v>0.88188136651431936</v>
      </c>
      <c r="M106" s="8">
        <f>'2_Preprocessed'!$D114</f>
        <v>0.98365637927507643</v>
      </c>
      <c r="N106" s="8">
        <f>'2_Preprocessed'!$D115</f>
        <v>1.4200388786191902</v>
      </c>
      <c r="O106" s="8">
        <f>'2_Preprocessed'!$D116</f>
        <v>1.7120923574673503</v>
      </c>
      <c r="P106" s="8">
        <f>'2_Preprocessed'!$D117</f>
        <v>1.7798958967154574</v>
      </c>
      <c r="Q106" s="8">
        <f>'2_Preprocessed'!$D118</f>
        <v>1.2417383846105865</v>
      </c>
      <c r="R106" s="9">
        <f t="shared" si="3"/>
        <v>3.8987164968176025</v>
      </c>
    </row>
    <row r="107" spans="1:18">
      <c r="A107" s="7">
        <f t="shared" si="4"/>
        <v>106</v>
      </c>
      <c r="B107" s="7">
        <f t="shared" si="5"/>
        <v>117</v>
      </c>
      <c r="C107" s="7" t="str">
        <f>'1_RawData'!A107</f>
        <v>1957-10</v>
      </c>
      <c r="D107" s="7" t="str">
        <f>'1_RawData'!A118</f>
        <v>1958-09</v>
      </c>
      <c r="E107" s="8">
        <f>'2_Preprocessed'!$D107</f>
        <v>0.87494118934723042</v>
      </c>
      <c r="F107" s="8">
        <f>'2_Preprocessed'!$D108</f>
        <v>0.56379925180330992</v>
      </c>
      <c r="G107" s="8">
        <f>'2_Preprocessed'!$D109</f>
        <v>0.79725128307750059</v>
      </c>
      <c r="H107" s="8">
        <f>'2_Preprocessed'!$D110</f>
        <v>0.82579256176071836</v>
      </c>
      <c r="I107" s="8">
        <f>'2_Preprocessed'!$D111</f>
        <v>0.66446307328449994</v>
      </c>
      <c r="J107" s="8">
        <f>'2_Preprocessed'!$D112</f>
        <v>0.97700338222493543</v>
      </c>
      <c r="K107" s="8">
        <f>'2_Preprocessed'!$D113</f>
        <v>0.88188136651431936</v>
      </c>
      <c r="L107" s="8">
        <f>'2_Preprocessed'!$D114</f>
        <v>0.98365637927507643</v>
      </c>
      <c r="M107" s="8">
        <f>'2_Preprocessed'!$D115</f>
        <v>1.4200388786191902</v>
      </c>
      <c r="N107" s="8">
        <f>'2_Preprocessed'!$D116</f>
        <v>1.7120923574673503</v>
      </c>
      <c r="O107" s="8">
        <f>'2_Preprocessed'!$D117</f>
        <v>1.7798958967154574</v>
      </c>
      <c r="P107" s="8">
        <f>'2_Preprocessed'!$D118</f>
        <v>1.2417383846105865</v>
      </c>
      <c r="Q107" s="8">
        <f>'2_Preprocessed'!$D119</f>
        <v>0.95693355848543915</v>
      </c>
      <c r="R107" s="9">
        <f t="shared" si="3"/>
        <v>3.8987164968176025</v>
      </c>
    </row>
    <row r="108" spans="1:18">
      <c r="A108" s="7">
        <f t="shared" si="4"/>
        <v>107</v>
      </c>
      <c r="B108" s="7">
        <f t="shared" si="5"/>
        <v>118</v>
      </c>
      <c r="C108" s="7" t="str">
        <f>'1_RawData'!A108</f>
        <v>1957-11</v>
      </c>
      <c r="D108" s="7" t="str">
        <f>'1_RawData'!A119</f>
        <v>1958-10</v>
      </c>
      <c r="E108" s="8">
        <f>'2_Preprocessed'!$D108</f>
        <v>0.56379925180330992</v>
      </c>
      <c r="F108" s="8">
        <f>'2_Preprocessed'!$D109</f>
        <v>0.79725128307750059</v>
      </c>
      <c r="G108" s="8">
        <f>'2_Preprocessed'!$D110</f>
        <v>0.82579256176071836</v>
      </c>
      <c r="H108" s="8">
        <f>'2_Preprocessed'!$D111</f>
        <v>0.66446307328449994</v>
      </c>
      <c r="I108" s="8">
        <f>'2_Preprocessed'!$D112</f>
        <v>0.97700338222493543</v>
      </c>
      <c r="J108" s="8">
        <f>'2_Preprocessed'!$D113</f>
        <v>0.88188136651431936</v>
      </c>
      <c r="K108" s="8">
        <f>'2_Preprocessed'!$D114</f>
        <v>0.98365637927507643</v>
      </c>
      <c r="L108" s="8">
        <f>'2_Preprocessed'!$D115</f>
        <v>1.4200388786191902</v>
      </c>
      <c r="M108" s="8">
        <f>'2_Preprocessed'!$D116</f>
        <v>1.7120923574673503</v>
      </c>
      <c r="N108" s="8">
        <f>'2_Preprocessed'!$D117</f>
        <v>1.7798958967154574</v>
      </c>
      <c r="O108" s="8">
        <f>'2_Preprocessed'!$D118</f>
        <v>1.2417383846105865</v>
      </c>
      <c r="P108" s="8">
        <f>'2_Preprocessed'!$D119</f>
        <v>0.95693355848543915</v>
      </c>
      <c r="Q108" s="8">
        <f>'2_Preprocessed'!$D120</f>
        <v>0.60301491098928695</v>
      </c>
      <c r="R108" s="9">
        <f t="shared" si="3"/>
        <v>3.9179318617220713</v>
      </c>
    </row>
    <row r="109" spans="1:18">
      <c r="A109" s="7">
        <f t="shared" si="4"/>
        <v>108</v>
      </c>
      <c r="B109" s="7">
        <f t="shared" si="5"/>
        <v>119</v>
      </c>
      <c r="C109" s="7" t="str">
        <f>'1_RawData'!A109</f>
        <v>1957-12</v>
      </c>
      <c r="D109" s="7" t="str">
        <f>'1_RawData'!A120</f>
        <v>1958-11</v>
      </c>
      <c r="E109" s="8">
        <f>'2_Preprocessed'!$D109</f>
        <v>0.79725128307750059</v>
      </c>
      <c r="F109" s="8">
        <f>'2_Preprocessed'!$D110</f>
        <v>0.82579256176071836</v>
      </c>
      <c r="G109" s="8">
        <f>'2_Preprocessed'!$D111</f>
        <v>0.66446307328449994</v>
      </c>
      <c r="H109" s="8">
        <f>'2_Preprocessed'!$D112</f>
        <v>0.97700338222493543</v>
      </c>
      <c r="I109" s="8">
        <f>'2_Preprocessed'!$D113</f>
        <v>0.88188136651431936</v>
      </c>
      <c r="J109" s="8">
        <f>'2_Preprocessed'!$D114</f>
        <v>0.98365637927507643</v>
      </c>
      <c r="K109" s="8">
        <f>'2_Preprocessed'!$D115</f>
        <v>1.4200388786191902</v>
      </c>
      <c r="L109" s="8">
        <f>'2_Preprocessed'!$D116</f>
        <v>1.7120923574673503</v>
      </c>
      <c r="M109" s="8">
        <f>'2_Preprocessed'!$D117</f>
        <v>1.7798958967154574</v>
      </c>
      <c r="N109" s="8">
        <f>'2_Preprocessed'!$D118</f>
        <v>1.2417383846105865</v>
      </c>
      <c r="O109" s="8">
        <f>'2_Preprocessed'!$D119</f>
        <v>0.95693355848543915</v>
      </c>
      <c r="P109" s="8">
        <f>'2_Preprocessed'!$D120</f>
        <v>0.60301491098928695</v>
      </c>
      <c r="Q109" s="8">
        <f>'2_Preprocessed'!$D121</f>
        <v>0.80441833114927708</v>
      </c>
      <c r="R109" s="9">
        <f t="shared" si="3"/>
        <v>3.9237669986428125</v>
      </c>
    </row>
    <row r="110" spans="1:18">
      <c r="A110" s="7">
        <f t="shared" si="4"/>
        <v>109</v>
      </c>
      <c r="B110" s="7">
        <f t="shared" si="5"/>
        <v>120</v>
      </c>
      <c r="C110" s="7" t="str">
        <f>'1_RawData'!A110</f>
        <v>1958-01</v>
      </c>
      <c r="D110" s="7" t="str">
        <f>'1_RawData'!A121</f>
        <v>1958-12</v>
      </c>
      <c r="E110" s="8">
        <f>'2_Preprocessed'!$D110</f>
        <v>0.82579256176071836</v>
      </c>
      <c r="F110" s="8">
        <f>'2_Preprocessed'!$D111</f>
        <v>0.66446307328449994</v>
      </c>
      <c r="G110" s="8">
        <f>'2_Preprocessed'!$D112</f>
        <v>0.97700338222493543</v>
      </c>
      <c r="H110" s="8">
        <f>'2_Preprocessed'!$D113</f>
        <v>0.88188136651431936</v>
      </c>
      <c r="I110" s="8">
        <f>'2_Preprocessed'!$D114</f>
        <v>0.98365637927507643</v>
      </c>
      <c r="J110" s="8">
        <f>'2_Preprocessed'!$D115</f>
        <v>1.4200388786191902</v>
      </c>
      <c r="K110" s="8">
        <f>'2_Preprocessed'!$D116</f>
        <v>1.7120923574673503</v>
      </c>
      <c r="L110" s="8">
        <f>'2_Preprocessed'!$D117</f>
        <v>1.7798958967154574</v>
      </c>
      <c r="M110" s="8">
        <f>'2_Preprocessed'!$D118</f>
        <v>1.2417383846105865</v>
      </c>
      <c r="N110" s="8">
        <f>'2_Preprocessed'!$D119</f>
        <v>0.95693355848543915</v>
      </c>
      <c r="O110" s="8">
        <f>'2_Preprocessed'!$D120</f>
        <v>0.60301491098928695</v>
      </c>
      <c r="P110" s="8">
        <f>'2_Preprocessed'!$D121</f>
        <v>0.80441833114927708</v>
      </c>
      <c r="Q110" s="8">
        <f>'2_Preprocessed'!$D122</f>
        <v>0.9636420743583447</v>
      </c>
      <c r="R110" s="9">
        <f t="shared" si="3"/>
        <v>3.9252295095648471</v>
      </c>
    </row>
    <row r="111" spans="1:18">
      <c r="A111" s="7">
        <f t="shared" si="4"/>
        <v>110</v>
      </c>
      <c r="B111" s="7">
        <f t="shared" si="5"/>
        <v>121</v>
      </c>
      <c r="C111" s="7" t="str">
        <f>'1_RawData'!A111</f>
        <v>1958-02</v>
      </c>
      <c r="D111" s="7" t="str">
        <f>'1_RawData'!A122</f>
        <v>1959-01</v>
      </c>
      <c r="E111" s="8">
        <f>'2_Preprocessed'!$D111</f>
        <v>0.66446307328449994</v>
      </c>
      <c r="F111" s="8">
        <f>'2_Preprocessed'!$D112</f>
        <v>0.97700338222493543</v>
      </c>
      <c r="G111" s="8">
        <f>'2_Preprocessed'!$D113</f>
        <v>0.88188136651431936</v>
      </c>
      <c r="H111" s="8">
        <f>'2_Preprocessed'!$D114</f>
        <v>0.98365637927507643</v>
      </c>
      <c r="I111" s="8">
        <f>'2_Preprocessed'!$D115</f>
        <v>1.4200388786191902</v>
      </c>
      <c r="J111" s="8">
        <f>'2_Preprocessed'!$D116</f>
        <v>1.7120923574673503</v>
      </c>
      <c r="K111" s="8">
        <f>'2_Preprocessed'!$D117</f>
        <v>1.7798958967154574</v>
      </c>
      <c r="L111" s="8">
        <f>'2_Preprocessed'!$D118</f>
        <v>1.2417383846105865</v>
      </c>
      <c r="M111" s="8">
        <f>'2_Preprocessed'!$D119</f>
        <v>0.95693355848543915</v>
      </c>
      <c r="N111" s="8">
        <f>'2_Preprocessed'!$D120</f>
        <v>0.60301491098928695</v>
      </c>
      <c r="O111" s="8">
        <f>'2_Preprocessed'!$D121</f>
        <v>0.80441833114927708</v>
      </c>
      <c r="P111" s="8">
        <f>'2_Preprocessed'!$D122</f>
        <v>0.9636420743583447</v>
      </c>
      <c r="Q111" s="8">
        <f>'2_Preprocessed'!$D123</f>
        <v>0.83993752841608693</v>
      </c>
      <c r="R111" s="9">
        <f t="shared" si="3"/>
        <v>3.9565261777439331</v>
      </c>
    </row>
    <row r="112" spans="1:18">
      <c r="A112" s="7">
        <f t="shared" si="4"/>
        <v>111</v>
      </c>
      <c r="B112" s="7">
        <f t="shared" si="5"/>
        <v>122</v>
      </c>
      <c r="C112" s="7" t="str">
        <f>'1_RawData'!A112</f>
        <v>1958-03</v>
      </c>
      <c r="D112" s="7" t="str">
        <f>'1_RawData'!A123</f>
        <v>1959-02</v>
      </c>
      <c r="E112" s="8">
        <f>'2_Preprocessed'!$D112</f>
        <v>0.97700338222493543</v>
      </c>
      <c r="F112" s="8">
        <f>'2_Preprocessed'!$D113</f>
        <v>0.88188136651431936</v>
      </c>
      <c r="G112" s="8">
        <f>'2_Preprocessed'!$D114</f>
        <v>0.98365637927507643</v>
      </c>
      <c r="H112" s="8">
        <f>'2_Preprocessed'!$D115</f>
        <v>1.4200388786191902</v>
      </c>
      <c r="I112" s="8">
        <f>'2_Preprocessed'!$D116</f>
        <v>1.7120923574673503</v>
      </c>
      <c r="J112" s="8">
        <f>'2_Preprocessed'!$D117</f>
        <v>1.7798958967154574</v>
      </c>
      <c r="K112" s="8">
        <f>'2_Preprocessed'!$D118</f>
        <v>1.2417383846105865</v>
      </c>
      <c r="L112" s="8">
        <f>'2_Preprocessed'!$D119</f>
        <v>0.95693355848543915</v>
      </c>
      <c r="M112" s="8">
        <f>'2_Preprocessed'!$D120</f>
        <v>0.60301491098928695</v>
      </c>
      <c r="N112" s="8">
        <f>'2_Preprocessed'!$D121</f>
        <v>0.80441833114927708</v>
      </c>
      <c r="O112" s="8">
        <f>'2_Preprocessed'!$D122</f>
        <v>0.9636420743583447</v>
      </c>
      <c r="P112" s="8">
        <f>'2_Preprocessed'!$D123</f>
        <v>0.83993752841608693</v>
      </c>
      <c r="Q112" s="8">
        <f>'2_Preprocessed'!$D124</f>
        <v>1.2536480873383462</v>
      </c>
      <c r="R112" s="9">
        <f t="shared" si="3"/>
        <v>3.989747269070568</v>
      </c>
    </row>
    <row r="113" spans="1:18">
      <c r="A113" s="7">
        <f t="shared" si="4"/>
        <v>112</v>
      </c>
      <c r="B113" s="7">
        <f t="shared" si="5"/>
        <v>123</v>
      </c>
      <c r="C113" s="7" t="str">
        <f>'1_RawData'!A113</f>
        <v>1958-04</v>
      </c>
      <c r="D113" s="7" t="str">
        <f>'1_RawData'!A124</f>
        <v>1959-03</v>
      </c>
      <c r="E113" s="8">
        <f>'2_Preprocessed'!$D113</f>
        <v>0.88188136651431936</v>
      </c>
      <c r="F113" s="8">
        <f>'2_Preprocessed'!$D114</f>
        <v>0.98365637927507643</v>
      </c>
      <c r="G113" s="8">
        <f>'2_Preprocessed'!$D115</f>
        <v>1.4200388786191902</v>
      </c>
      <c r="H113" s="8">
        <f>'2_Preprocessed'!$D116</f>
        <v>1.7120923574673503</v>
      </c>
      <c r="I113" s="8">
        <f>'2_Preprocessed'!$D117</f>
        <v>1.7798958967154574</v>
      </c>
      <c r="J113" s="8">
        <f>'2_Preprocessed'!$D118</f>
        <v>1.2417383846105865</v>
      </c>
      <c r="K113" s="8">
        <f>'2_Preprocessed'!$D119</f>
        <v>0.95693355848543915</v>
      </c>
      <c r="L113" s="8">
        <f>'2_Preprocessed'!$D120</f>
        <v>0.60301491098928695</v>
      </c>
      <c r="M113" s="8">
        <f>'2_Preprocessed'!$D121</f>
        <v>0.80441833114927708</v>
      </c>
      <c r="N113" s="8">
        <f>'2_Preprocessed'!$D122</f>
        <v>0.9636420743583447</v>
      </c>
      <c r="O113" s="8">
        <f>'2_Preprocessed'!$D123</f>
        <v>0.83993752841608693</v>
      </c>
      <c r="P113" s="8">
        <f>'2_Preprocessed'!$D124</f>
        <v>1.2536480873383462</v>
      </c>
      <c r="Q113" s="8">
        <f>'2_Preprocessed'!$D125</f>
        <v>1.1935025786824822</v>
      </c>
      <c r="R113" s="9">
        <f t="shared" si="3"/>
        <v>4.0663474014235659</v>
      </c>
    </row>
    <row r="114" spans="1:18">
      <c r="A114" s="7">
        <f t="shared" si="4"/>
        <v>113</v>
      </c>
      <c r="B114" s="7">
        <f t="shared" si="5"/>
        <v>124</v>
      </c>
      <c r="C114" s="7" t="str">
        <f>'1_RawData'!A114</f>
        <v>1958-05</v>
      </c>
      <c r="D114" s="7" t="str">
        <f>'1_RawData'!A125</f>
        <v>1959-04</v>
      </c>
      <c r="E114" s="8">
        <f>'2_Preprocessed'!$D114</f>
        <v>0.98365637927507643</v>
      </c>
      <c r="F114" s="8">
        <f>'2_Preprocessed'!$D115</f>
        <v>1.4200388786191902</v>
      </c>
      <c r="G114" s="8">
        <f>'2_Preprocessed'!$D116</f>
        <v>1.7120923574673503</v>
      </c>
      <c r="H114" s="8">
        <f>'2_Preprocessed'!$D117</f>
        <v>1.7798958967154574</v>
      </c>
      <c r="I114" s="8">
        <f>'2_Preprocessed'!$D118</f>
        <v>1.2417383846105865</v>
      </c>
      <c r="J114" s="8">
        <f>'2_Preprocessed'!$D119</f>
        <v>0.95693355848543915</v>
      </c>
      <c r="K114" s="8">
        <f>'2_Preprocessed'!$D120</f>
        <v>0.60301491098928695</v>
      </c>
      <c r="L114" s="8">
        <f>'2_Preprocessed'!$D121</f>
        <v>0.80441833114927708</v>
      </c>
      <c r="M114" s="8">
        <f>'2_Preprocessed'!$D122</f>
        <v>0.9636420743583447</v>
      </c>
      <c r="N114" s="8">
        <f>'2_Preprocessed'!$D123</f>
        <v>0.83993752841608693</v>
      </c>
      <c r="O114" s="8">
        <f>'2_Preprocessed'!$D124</f>
        <v>1.2536480873383462</v>
      </c>
      <c r="P114" s="8">
        <f>'2_Preprocessed'!$D125</f>
        <v>1.1935025786824822</v>
      </c>
      <c r="Q114" s="8">
        <f>'2_Preprocessed'!$D126</f>
        <v>1.3354087951823714</v>
      </c>
      <c r="R114" s="9">
        <f t="shared" si="3"/>
        <v>4.1451073387526121</v>
      </c>
    </row>
    <row r="115" spans="1:18">
      <c r="A115" s="7">
        <f t="shared" si="4"/>
        <v>114</v>
      </c>
      <c r="B115" s="7">
        <f t="shared" si="5"/>
        <v>125</v>
      </c>
      <c r="C115" s="7" t="str">
        <f>'1_RawData'!A115</f>
        <v>1958-06</v>
      </c>
      <c r="D115" s="7" t="str">
        <f>'1_RawData'!A126</f>
        <v>1959-05</v>
      </c>
      <c r="E115" s="8">
        <f>'2_Preprocessed'!$D115</f>
        <v>1.4200388786191902</v>
      </c>
      <c r="F115" s="8">
        <f>'2_Preprocessed'!$D116</f>
        <v>1.7120923574673503</v>
      </c>
      <c r="G115" s="8">
        <f>'2_Preprocessed'!$D117</f>
        <v>1.7798958967154574</v>
      </c>
      <c r="H115" s="8">
        <f>'2_Preprocessed'!$D118</f>
        <v>1.2417383846105865</v>
      </c>
      <c r="I115" s="8">
        <f>'2_Preprocessed'!$D119</f>
        <v>0.95693355848543915</v>
      </c>
      <c r="J115" s="8">
        <f>'2_Preprocessed'!$D120</f>
        <v>0.60301491098928695</v>
      </c>
      <c r="K115" s="8">
        <f>'2_Preprocessed'!$D121</f>
        <v>0.80441833114927708</v>
      </c>
      <c r="L115" s="8">
        <f>'2_Preprocessed'!$D122</f>
        <v>0.9636420743583447</v>
      </c>
      <c r="M115" s="8">
        <f>'2_Preprocessed'!$D123</f>
        <v>0.83993752841608693</v>
      </c>
      <c r="N115" s="8">
        <f>'2_Preprocessed'!$D124</f>
        <v>1.2536480873383462</v>
      </c>
      <c r="O115" s="8">
        <f>'2_Preprocessed'!$D125</f>
        <v>1.1935025786824822</v>
      </c>
      <c r="P115" s="8">
        <f>'2_Preprocessed'!$D126</f>
        <v>1.3354087951823714</v>
      </c>
      <c r="Q115" s="8">
        <f>'2_Preprocessed'!$D127</f>
        <v>1.6169138832476955</v>
      </c>
      <c r="R115" s="9">
        <f t="shared" si="3"/>
        <v>4.2423639197436422</v>
      </c>
    </row>
    <row r="116" spans="1:18">
      <c r="A116" s="7">
        <f t="shared" si="4"/>
        <v>115</v>
      </c>
      <c r="B116" s="7">
        <f t="shared" si="5"/>
        <v>126</v>
      </c>
      <c r="C116" s="7" t="str">
        <f>'1_RawData'!A116</f>
        <v>1958-07</v>
      </c>
      <c r="D116" s="7" t="str">
        <f>'1_RawData'!A127</f>
        <v>1959-06</v>
      </c>
      <c r="E116" s="8">
        <f>'2_Preprocessed'!$D116</f>
        <v>1.7120923574673503</v>
      </c>
      <c r="F116" s="8">
        <f>'2_Preprocessed'!$D117</f>
        <v>1.7798958967154574</v>
      </c>
      <c r="G116" s="8">
        <f>'2_Preprocessed'!$D118</f>
        <v>1.2417383846105865</v>
      </c>
      <c r="H116" s="8">
        <f>'2_Preprocessed'!$D119</f>
        <v>0.95693355848543915</v>
      </c>
      <c r="I116" s="8">
        <f>'2_Preprocessed'!$D120</f>
        <v>0.60301491098928695</v>
      </c>
      <c r="J116" s="8">
        <f>'2_Preprocessed'!$D121</f>
        <v>0.80441833114927708</v>
      </c>
      <c r="K116" s="8">
        <f>'2_Preprocessed'!$D122</f>
        <v>0.9636420743583447</v>
      </c>
      <c r="L116" s="8">
        <f>'2_Preprocessed'!$D123</f>
        <v>0.83993752841608693</v>
      </c>
      <c r="M116" s="8">
        <f>'2_Preprocessed'!$D124</f>
        <v>1.2536480873383462</v>
      </c>
      <c r="N116" s="8">
        <f>'2_Preprocessed'!$D125</f>
        <v>1.1935025786824822</v>
      </c>
      <c r="O116" s="8">
        <f>'2_Preprocessed'!$D126</f>
        <v>1.3354087951823714</v>
      </c>
      <c r="P116" s="8">
        <f>'2_Preprocessed'!$D127</f>
        <v>1.6169138832476955</v>
      </c>
      <c r="Q116" s="8">
        <f>'2_Preprocessed'!$D128</f>
        <v>1.9769732514637497</v>
      </c>
      <c r="R116" s="9">
        <f t="shared" si="3"/>
        <v>4.3122559892232433</v>
      </c>
    </row>
    <row r="117" spans="1:18">
      <c r="A117" s="7">
        <f t="shared" si="4"/>
        <v>116</v>
      </c>
      <c r="B117" s="7">
        <f t="shared" si="5"/>
        <v>127</v>
      </c>
      <c r="C117" s="7" t="str">
        <f>'1_RawData'!A117</f>
        <v>1958-08</v>
      </c>
      <c r="D117" s="7" t="str">
        <f>'1_RawData'!A128</f>
        <v>1959-07</v>
      </c>
      <c r="E117" s="8">
        <f>'2_Preprocessed'!$D117</f>
        <v>1.7798958967154574</v>
      </c>
      <c r="F117" s="8">
        <f>'2_Preprocessed'!$D118</f>
        <v>1.2417383846105865</v>
      </c>
      <c r="G117" s="8">
        <f>'2_Preprocessed'!$D119</f>
        <v>0.95693355848543915</v>
      </c>
      <c r="H117" s="8">
        <f>'2_Preprocessed'!$D120</f>
        <v>0.60301491098928695</v>
      </c>
      <c r="I117" s="8">
        <f>'2_Preprocessed'!$D121</f>
        <v>0.80441833114927708</v>
      </c>
      <c r="J117" s="8">
        <f>'2_Preprocessed'!$D122</f>
        <v>0.9636420743583447</v>
      </c>
      <c r="K117" s="8">
        <f>'2_Preprocessed'!$D123</f>
        <v>0.83993752841608693</v>
      </c>
      <c r="L117" s="8">
        <f>'2_Preprocessed'!$D124</f>
        <v>1.2536480873383462</v>
      </c>
      <c r="M117" s="8">
        <f>'2_Preprocessed'!$D125</f>
        <v>1.1935025786824822</v>
      </c>
      <c r="N117" s="8">
        <f>'2_Preprocessed'!$D126</f>
        <v>1.3354087951823714</v>
      </c>
      <c r="O117" s="8">
        <f>'2_Preprocessed'!$D127</f>
        <v>1.6169138832476955</v>
      </c>
      <c r="P117" s="8">
        <f>'2_Preprocessed'!$D128</f>
        <v>1.9769732514637497</v>
      </c>
      <c r="Q117" s="8">
        <f>'2_Preprocessed'!$D129</f>
        <v>2.0249040231186854</v>
      </c>
      <c r="R117" s="9">
        <f t="shared" si="3"/>
        <v>4.424106091980252</v>
      </c>
    </row>
    <row r="118" spans="1:18">
      <c r="A118" s="7">
        <f t="shared" si="4"/>
        <v>117</v>
      </c>
      <c r="B118" s="7">
        <f t="shared" si="5"/>
        <v>128</v>
      </c>
      <c r="C118" s="7" t="str">
        <f>'1_RawData'!A118</f>
        <v>1958-09</v>
      </c>
      <c r="D118" s="7" t="str">
        <f>'1_RawData'!A129</f>
        <v>1959-08</v>
      </c>
      <c r="E118" s="8">
        <f>'2_Preprocessed'!$D118</f>
        <v>1.2417383846105865</v>
      </c>
      <c r="F118" s="8">
        <f>'2_Preprocessed'!$D119</f>
        <v>0.95693355848543915</v>
      </c>
      <c r="G118" s="8">
        <f>'2_Preprocessed'!$D120</f>
        <v>0.60301491098928695</v>
      </c>
      <c r="H118" s="8">
        <f>'2_Preprocessed'!$D121</f>
        <v>0.80441833114927708</v>
      </c>
      <c r="I118" s="8">
        <f>'2_Preprocessed'!$D122</f>
        <v>0.9636420743583447</v>
      </c>
      <c r="J118" s="8">
        <f>'2_Preprocessed'!$D123</f>
        <v>0.83993752841608693</v>
      </c>
      <c r="K118" s="8">
        <f>'2_Preprocessed'!$D124</f>
        <v>1.2536480873383462</v>
      </c>
      <c r="L118" s="8">
        <f>'2_Preprocessed'!$D125</f>
        <v>1.1935025786824822</v>
      </c>
      <c r="M118" s="8">
        <f>'2_Preprocessed'!$D126</f>
        <v>1.3354087951823714</v>
      </c>
      <c r="N118" s="8">
        <f>'2_Preprocessed'!$D127</f>
        <v>1.6169138832476955</v>
      </c>
      <c r="O118" s="8">
        <f>'2_Preprocessed'!$D128</f>
        <v>1.9769732514637497</v>
      </c>
      <c r="P118" s="8">
        <f>'2_Preprocessed'!$D129</f>
        <v>2.0249040231186854</v>
      </c>
      <c r="Q118" s="8">
        <f>'2_Preprocessed'!$D130</f>
        <v>1.5704838094325702</v>
      </c>
      <c r="R118" s="9">
        <f t="shared" si="3"/>
        <v>4.5282360376635058</v>
      </c>
    </row>
    <row r="119" spans="1:18">
      <c r="A119" s="7">
        <f t="shared" si="4"/>
        <v>118</v>
      </c>
      <c r="B119" s="7">
        <f t="shared" si="5"/>
        <v>129</v>
      </c>
      <c r="C119" s="7" t="str">
        <f>'1_RawData'!A119</f>
        <v>1958-10</v>
      </c>
      <c r="D119" s="7" t="str">
        <f>'1_RawData'!A130</f>
        <v>1959-09</v>
      </c>
      <c r="E119" s="8">
        <f>'2_Preprocessed'!$D119</f>
        <v>0.95693355848543915</v>
      </c>
      <c r="F119" s="8">
        <f>'2_Preprocessed'!$D120</f>
        <v>0.60301491098928695</v>
      </c>
      <c r="G119" s="8">
        <f>'2_Preprocessed'!$D121</f>
        <v>0.80441833114927708</v>
      </c>
      <c r="H119" s="8">
        <f>'2_Preprocessed'!$D122</f>
        <v>0.9636420743583447</v>
      </c>
      <c r="I119" s="8">
        <f>'2_Preprocessed'!$D123</f>
        <v>0.83993752841608693</v>
      </c>
      <c r="J119" s="8">
        <f>'2_Preprocessed'!$D124</f>
        <v>1.2536480873383462</v>
      </c>
      <c r="K119" s="8">
        <f>'2_Preprocessed'!$D125</f>
        <v>1.1935025786824822</v>
      </c>
      <c r="L119" s="8">
        <f>'2_Preprocessed'!$D126</f>
        <v>1.3354087951823714</v>
      </c>
      <c r="M119" s="8">
        <f>'2_Preprocessed'!$D127</f>
        <v>1.6169138832476955</v>
      </c>
      <c r="N119" s="8">
        <f>'2_Preprocessed'!$D128</f>
        <v>1.9769732514637497</v>
      </c>
      <c r="O119" s="8">
        <f>'2_Preprocessed'!$D129</f>
        <v>2.0249040231186854</v>
      </c>
      <c r="P119" s="8">
        <f>'2_Preprocessed'!$D130</f>
        <v>1.5704838094325702</v>
      </c>
      <c r="Q119" s="8">
        <f>'2_Preprocessed'!$D131</f>
        <v>1.2595809560160873</v>
      </c>
      <c r="R119" s="9">
        <f t="shared" si="3"/>
        <v>4.6291928878227813</v>
      </c>
    </row>
    <row r="120" spans="1:18">
      <c r="A120" s="7">
        <f t="shared" si="4"/>
        <v>119</v>
      </c>
      <c r="B120" s="7">
        <f t="shared" si="5"/>
        <v>130</v>
      </c>
      <c r="C120" s="7" t="str">
        <f>'1_RawData'!A120</f>
        <v>1958-11</v>
      </c>
      <c r="D120" s="7" t="str">
        <f>'1_RawData'!A131</f>
        <v>1959-10</v>
      </c>
      <c r="E120" s="8">
        <f>'2_Preprocessed'!$D120</f>
        <v>0.60301491098928695</v>
      </c>
      <c r="F120" s="8">
        <f>'2_Preprocessed'!$D121</f>
        <v>0.80441833114927708</v>
      </c>
      <c r="G120" s="8">
        <f>'2_Preprocessed'!$D122</f>
        <v>0.9636420743583447</v>
      </c>
      <c r="H120" s="8">
        <f>'2_Preprocessed'!$D123</f>
        <v>0.83993752841608693</v>
      </c>
      <c r="I120" s="8">
        <f>'2_Preprocessed'!$D124</f>
        <v>1.2536480873383462</v>
      </c>
      <c r="J120" s="8">
        <f>'2_Preprocessed'!$D125</f>
        <v>1.1935025786824822</v>
      </c>
      <c r="K120" s="8">
        <f>'2_Preprocessed'!$D126</f>
        <v>1.3354087951823714</v>
      </c>
      <c r="L120" s="8">
        <f>'2_Preprocessed'!$D127</f>
        <v>1.6169138832476955</v>
      </c>
      <c r="M120" s="8">
        <f>'2_Preprocessed'!$D128</f>
        <v>1.9769732514637497</v>
      </c>
      <c r="N120" s="8">
        <f>'2_Preprocessed'!$D129</f>
        <v>2.0249040231186854</v>
      </c>
      <c r="O120" s="8">
        <f>'2_Preprocessed'!$D130</f>
        <v>1.5704838094325702</v>
      </c>
      <c r="P120" s="8">
        <f>'2_Preprocessed'!$D131</f>
        <v>1.2595809560160873</v>
      </c>
      <c r="Q120" s="8">
        <f>'2_Preprocessed'!$D132</f>
        <v>0.97700338222493543</v>
      </c>
      <c r="R120" s="9">
        <f t="shared" si="3"/>
        <v>4.7010902078211405</v>
      </c>
    </row>
    <row r="121" spans="1:18">
      <c r="A121" s="7">
        <f t="shared" si="4"/>
        <v>120</v>
      </c>
      <c r="B121" s="7">
        <f t="shared" si="5"/>
        <v>131</v>
      </c>
      <c r="C121" s="7" t="str">
        <f>'1_RawData'!A121</f>
        <v>1958-12</v>
      </c>
      <c r="D121" s="7" t="str">
        <f>'1_RawData'!A132</f>
        <v>1959-11</v>
      </c>
      <c r="E121" s="8">
        <f>'2_Preprocessed'!$D121</f>
        <v>0.80441833114927708</v>
      </c>
      <c r="F121" s="8">
        <f>'2_Preprocessed'!$D122</f>
        <v>0.9636420743583447</v>
      </c>
      <c r="G121" s="8">
        <f>'2_Preprocessed'!$D123</f>
        <v>0.83993752841608693</v>
      </c>
      <c r="H121" s="8">
        <f>'2_Preprocessed'!$D124</f>
        <v>1.2536480873383462</v>
      </c>
      <c r="I121" s="8">
        <f>'2_Preprocessed'!$D125</f>
        <v>1.1935025786824822</v>
      </c>
      <c r="J121" s="8">
        <f>'2_Preprocessed'!$D126</f>
        <v>1.3354087951823714</v>
      </c>
      <c r="K121" s="8">
        <f>'2_Preprocessed'!$D127</f>
        <v>1.6169138832476955</v>
      </c>
      <c r="L121" s="8">
        <f>'2_Preprocessed'!$D128</f>
        <v>1.9769732514637497</v>
      </c>
      <c r="M121" s="8">
        <f>'2_Preprocessed'!$D129</f>
        <v>2.0249040231186854</v>
      </c>
      <c r="N121" s="8">
        <f>'2_Preprocessed'!$D130</f>
        <v>1.5704838094325702</v>
      </c>
      <c r="O121" s="8">
        <f>'2_Preprocessed'!$D131</f>
        <v>1.2595809560160873</v>
      </c>
      <c r="P121" s="8">
        <f>'2_Preprocessed'!$D132</f>
        <v>0.97700338222493543</v>
      </c>
      <c r="Q121" s="8">
        <f>'2_Preprocessed'!$D133</f>
        <v>1.2477005876502856</v>
      </c>
      <c r="R121" s="9">
        <f t="shared" si="3"/>
        <v>4.7635236714091551</v>
      </c>
    </row>
    <row r="122" spans="1:18">
      <c r="A122" s="7"/>
      <c r="B122" s="7"/>
      <c r="C122" s="7"/>
      <c r="D122" s="7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</row>
    <row r="123" spans="1:18">
      <c r="A123" s="7"/>
      <c r="B123" s="7"/>
      <c r="C123" s="7"/>
      <c r="D123" s="7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</row>
    <row r="124" spans="1:18">
      <c r="A124" s="7"/>
      <c r="B124" s="7"/>
      <c r="C124" s="7"/>
      <c r="D124" s="7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</row>
    <row r="125" spans="1:18">
      <c r="A125" s="7"/>
      <c r="B125" s="7"/>
      <c r="C125" s="7"/>
      <c r="D125" s="7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</row>
    <row r="126" spans="1:18">
      <c r="A126" s="7"/>
      <c r="B126" s="7"/>
      <c r="C126" s="7"/>
      <c r="D126" s="7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</row>
    <row r="127" spans="1:18">
      <c r="A127" s="7"/>
      <c r="B127" s="7"/>
      <c r="C127" s="7"/>
      <c r="D127" s="7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</row>
    <row r="128" spans="1:18">
      <c r="A128" s="7"/>
      <c r="B128" s="7"/>
      <c r="C128" s="7"/>
      <c r="D128" s="7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</row>
    <row r="129" spans="1:17">
      <c r="A129" s="7"/>
      <c r="B129" s="7"/>
      <c r="C129" s="7"/>
      <c r="D129" s="7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424F9-698A-44F9-9A26-1EFDF87B7A31}">
  <dimension ref="A1:Q13"/>
  <sheetViews>
    <sheetView zoomScale="115" workbookViewId="0">
      <selection activeCell="G9" sqref="G9"/>
    </sheetView>
  </sheetViews>
  <sheetFormatPr defaultRowHeight="15"/>
  <cols>
    <col min="1" max="1" width="8.42578125" style="4" bestFit="1" customWidth="1"/>
    <col min="2" max="2" width="9.42578125" style="4" bestFit="1" customWidth="1"/>
    <col min="3" max="3" width="8.140625" style="4" bestFit="1" customWidth="1"/>
    <col min="4" max="4" width="21" style="4" bestFit="1" customWidth="1"/>
    <col min="5" max="16" width="7.42578125" style="4" customWidth="1"/>
    <col min="17" max="17" width="11.28515625" style="4" bestFit="1" customWidth="1"/>
    <col min="18" max="16384" width="9.140625" style="4"/>
  </cols>
  <sheetData>
    <row r="1" spans="1:17">
      <c r="A1" s="2" t="s">
        <v>190</v>
      </c>
      <c r="B1" s="2" t="s">
        <v>153</v>
      </c>
      <c r="C1" s="2" t="s">
        <v>0</v>
      </c>
      <c r="D1" s="2" t="s">
        <v>167</v>
      </c>
      <c r="E1" s="2" t="s">
        <v>154</v>
      </c>
      <c r="F1" s="2" t="s">
        <v>155</v>
      </c>
      <c r="G1" s="2" t="s">
        <v>156</v>
      </c>
      <c r="H1" s="2" t="s">
        <v>157</v>
      </c>
      <c r="I1" s="2" t="s">
        <v>158</v>
      </c>
      <c r="J1" s="2" t="s">
        <v>159</v>
      </c>
      <c r="K1" s="2" t="s">
        <v>160</v>
      </c>
      <c r="L1" s="2" t="s">
        <v>161</v>
      </c>
      <c r="M1" s="2" t="s">
        <v>162</v>
      </c>
      <c r="N1" s="2" t="s">
        <v>163</v>
      </c>
      <c r="O1" s="2" t="s">
        <v>164</v>
      </c>
      <c r="P1" s="2" t="s">
        <v>165</v>
      </c>
      <c r="Q1" s="6" t="s">
        <v>168</v>
      </c>
    </row>
    <row r="2" spans="1:17">
      <c r="A2" s="7">
        <v>1</v>
      </c>
      <c r="B2" s="7">
        <f>'2_Preprocessed'!$A132</f>
        <v>131</v>
      </c>
      <c r="C2" s="8" t="str">
        <f>'1_RawData'!A132</f>
        <v>1959-11</v>
      </c>
      <c r="D2" s="8" t="str" cm="1">
        <f t="array" ref="D2">INDEX('1_RawData'!A:A, B2+2)</f>
        <v>1959-12</v>
      </c>
      <c r="E2" s="8">
        <f>'2_Preprocessed'!$D121</f>
        <v>0.80441833114927708</v>
      </c>
      <c r="F2" s="8">
        <f>'2_Preprocessed'!$D122</f>
        <v>0.9636420743583447</v>
      </c>
      <c r="G2" s="8">
        <f>'2_Preprocessed'!$D123</f>
        <v>0.83993752841608693</v>
      </c>
      <c r="H2" s="8">
        <f>'2_Preprocessed'!$D124</f>
        <v>1.2536480873383462</v>
      </c>
      <c r="I2" s="8">
        <f>'2_Preprocessed'!$D125</f>
        <v>1.1935025786824822</v>
      </c>
      <c r="J2" s="8">
        <f>'2_Preprocessed'!$D126</f>
        <v>1.3354087951823714</v>
      </c>
      <c r="K2" s="8">
        <f>'2_Preprocessed'!$D127</f>
        <v>1.6169138832476955</v>
      </c>
      <c r="L2" s="8">
        <f>'2_Preprocessed'!$D128</f>
        <v>1.9769732514637497</v>
      </c>
      <c r="M2" s="8">
        <f>'2_Preprocessed'!$D129</f>
        <v>2.0249040231186854</v>
      </c>
      <c r="N2" s="8">
        <f>'2_Preprocessed'!$D130</f>
        <v>1.5704838094325702</v>
      </c>
      <c r="O2" s="8">
        <f>'2_Preprocessed'!$D131</f>
        <v>1.2595809560160873</v>
      </c>
      <c r="P2" s="8">
        <f>'2_Preprocessed'!$D132</f>
        <v>0.97700338222493543</v>
      </c>
      <c r="Q2" s="9">
        <f>SQRT(SUMSQ(E2:P2))</f>
        <v>4.7635236714091551</v>
      </c>
    </row>
    <row r="3" spans="1:17">
      <c r="A3" s="4">
        <f>A2+1</f>
        <v>2</v>
      </c>
      <c r="B3" s="4">
        <f>B2+1</f>
        <v>132</v>
      </c>
      <c r="C3" s="8" t="str">
        <f>'1_RawData'!A133</f>
        <v>1959-12</v>
      </c>
      <c r="D3" s="8" t="str" cm="1">
        <f t="array" ref="D3">INDEX('1_RawData'!A:A, B3+2)</f>
        <v>1960-01</v>
      </c>
      <c r="E3" s="8">
        <f>'2_Preprocessed'!$D122</f>
        <v>0.9636420743583447</v>
      </c>
      <c r="F3" s="8">
        <f>'2_Preprocessed'!$D123</f>
        <v>0.83993752841608693</v>
      </c>
      <c r="G3" s="8">
        <f>'2_Preprocessed'!$D124</f>
        <v>1.2536480873383462</v>
      </c>
      <c r="H3" s="8">
        <f>'2_Preprocessed'!$D125</f>
        <v>1.1935025786824822</v>
      </c>
      <c r="I3" s="8">
        <f>'2_Preprocessed'!$D126</f>
        <v>1.3354087951823714</v>
      </c>
      <c r="J3" s="8">
        <f>'2_Preprocessed'!$D127</f>
        <v>1.6169138832476955</v>
      </c>
      <c r="K3" s="8">
        <f>'2_Preprocessed'!$D128</f>
        <v>1.9769732514637497</v>
      </c>
      <c r="L3" s="8">
        <f>'2_Preprocessed'!$D129</f>
        <v>2.0249040231186854</v>
      </c>
      <c r="M3" s="8">
        <f>'2_Preprocessed'!$D130</f>
        <v>1.5704838094325702</v>
      </c>
      <c r="N3" s="8">
        <f>'2_Preprocessed'!$D131</f>
        <v>1.2595809560160873</v>
      </c>
      <c r="O3" s="8">
        <f>'2_Preprocessed'!$D132</f>
        <v>0.97700338222493543</v>
      </c>
      <c r="P3" s="8">
        <f>'2_Preprocessed'!$D133</f>
        <v>1.2477005876502856</v>
      </c>
      <c r="Q3" s="9">
        <f t="shared" ref="Q3:Q13" si="0">SQRT(SUMSQ(E3:P3))</f>
        <v>4.8580681009027895</v>
      </c>
    </row>
    <row r="4" spans="1:17">
      <c r="A4" s="4">
        <f t="shared" ref="A4:A13" si="1">A3+1</f>
        <v>3</v>
      </c>
      <c r="B4" s="4">
        <f t="shared" ref="B4:B13" si="2">B3+1</f>
        <v>133</v>
      </c>
      <c r="C4" s="8" t="str">
        <f>'1_RawData'!A134</f>
        <v>1960-01</v>
      </c>
      <c r="D4" s="8" t="str" cm="1">
        <f t="array" ref="D4">INDEX('1_RawData'!A:A, B4+2)</f>
        <v>1960-02</v>
      </c>
      <c r="E4" s="8">
        <f>'2_Preprocessed'!$D123</f>
        <v>0.83993752841608693</v>
      </c>
      <c r="F4" s="8">
        <f>'2_Preprocessed'!$D124</f>
        <v>1.2536480873383462</v>
      </c>
      <c r="G4" s="8">
        <f>'2_Preprocessed'!$D125</f>
        <v>1.1935025786824822</v>
      </c>
      <c r="H4" s="8">
        <f>'2_Preprocessed'!$D126</f>
        <v>1.3354087951823714</v>
      </c>
      <c r="I4" s="8">
        <f>'2_Preprocessed'!$D127</f>
        <v>1.6169138832476955</v>
      </c>
      <c r="J4" s="8">
        <f>'2_Preprocessed'!$D128</f>
        <v>1.9769732514637497</v>
      </c>
      <c r="K4" s="8">
        <f>'2_Preprocessed'!$D129</f>
        <v>2.0249040231186854</v>
      </c>
      <c r="L4" s="8">
        <f>'2_Preprocessed'!$D130</f>
        <v>1.5704838094325702</v>
      </c>
      <c r="M4" s="8">
        <f>'2_Preprocessed'!$D131</f>
        <v>1.2595809560160873</v>
      </c>
      <c r="N4" s="8">
        <f>'2_Preprocessed'!$D132</f>
        <v>0.97700338222493543</v>
      </c>
      <c r="O4" s="8">
        <f>'2_Preprocessed'!$D133</f>
        <v>1.2477005876502856</v>
      </c>
      <c r="P4" s="8">
        <f>'2_Preprocessed'!$H1</f>
        <v>0.41464356864858859</v>
      </c>
      <c r="Q4" s="9">
        <f t="shared" si="0"/>
        <v>4.7795553051049868</v>
      </c>
    </row>
    <row r="5" spans="1:17">
      <c r="A5" s="4">
        <f t="shared" si="1"/>
        <v>4</v>
      </c>
      <c r="B5" s="4">
        <f t="shared" si="2"/>
        <v>134</v>
      </c>
      <c r="C5" s="8" t="str">
        <f>'1_RawData'!A135</f>
        <v>1960-02</v>
      </c>
      <c r="D5" s="8" t="str" cm="1">
        <f t="array" ref="D5">INDEX('1_RawData'!A:A, B5+2)</f>
        <v>1960-03</v>
      </c>
      <c r="E5" s="8">
        <f>'2_Preprocessed'!$D124</f>
        <v>1.2536480873383462</v>
      </c>
      <c r="F5" s="8">
        <f>'2_Preprocessed'!$D125</f>
        <v>1.1935025786824822</v>
      </c>
      <c r="G5" s="8">
        <f>'2_Preprocessed'!$D126</f>
        <v>1.3354087951823714</v>
      </c>
      <c r="H5" s="8">
        <f>'2_Preprocessed'!$D127</f>
        <v>1.6169138832476955</v>
      </c>
      <c r="I5" s="8">
        <f>'2_Preprocessed'!$D128</f>
        <v>1.9769732514637497</v>
      </c>
      <c r="J5" s="8">
        <f>'2_Preprocessed'!$D129</f>
        <v>2.0249040231186854</v>
      </c>
      <c r="K5" s="8">
        <f>'2_Preprocessed'!$D130</f>
        <v>1.5704838094325702</v>
      </c>
      <c r="L5" s="8">
        <f>'2_Preprocessed'!$D131</f>
        <v>1.2595809560160873</v>
      </c>
      <c r="M5" s="8">
        <f>'2_Preprocessed'!$D132</f>
        <v>0.97700338222493543</v>
      </c>
      <c r="N5" s="8">
        <f>'2_Preprocessed'!$D133</f>
        <v>1.2477005876502856</v>
      </c>
      <c r="O5" s="8">
        <f>'2_Preprocessed'!$H1</f>
        <v>0.41464356864858859</v>
      </c>
      <c r="P5" s="8">
        <f>'2_Preprocessed'!$D135</f>
        <v>1.1628578220050101</v>
      </c>
      <c r="Q5" s="9">
        <f t="shared" si="0"/>
        <v>4.846740366175367</v>
      </c>
    </row>
    <row r="6" spans="1:17">
      <c r="A6" s="4">
        <f t="shared" si="1"/>
        <v>5</v>
      </c>
      <c r="B6" s="4">
        <f t="shared" si="2"/>
        <v>135</v>
      </c>
      <c r="C6" s="8" t="str">
        <f>'1_RawData'!A136</f>
        <v>1960-03</v>
      </c>
      <c r="D6" s="8" t="str" cm="1">
        <f t="array" ref="D6">INDEX('1_RawData'!A:A, B6+2)</f>
        <v>1960-04</v>
      </c>
      <c r="E6" s="8">
        <f>'2_Preprocessed'!$D125</f>
        <v>1.1935025786824822</v>
      </c>
      <c r="F6" s="8">
        <f>'2_Preprocessed'!$D126</f>
        <v>1.3354087951823714</v>
      </c>
      <c r="G6" s="8">
        <f>'2_Preprocessed'!$D127</f>
        <v>1.6169138832476955</v>
      </c>
      <c r="H6" s="8">
        <f>'2_Preprocessed'!$D128</f>
        <v>1.9769732514637497</v>
      </c>
      <c r="I6" s="8">
        <f>'2_Preprocessed'!$D129</f>
        <v>2.0249040231186854</v>
      </c>
      <c r="J6" s="8">
        <f>'2_Preprocessed'!$D130</f>
        <v>1.5704838094325702</v>
      </c>
      <c r="K6" s="8">
        <f>'2_Preprocessed'!$D131</f>
        <v>1.2595809560160873</v>
      </c>
      <c r="L6" s="8">
        <f>'2_Preprocessed'!$D132</f>
        <v>0.97700338222493543</v>
      </c>
      <c r="M6" s="8">
        <f>'2_Preprocessed'!$D133</f>
        <v>1.2477005876502856</v>
      </c>
      <c r="N6" s="8">
        <f>'2_Preprocessed'!$H1</f>
        <v>0.41464356864858859</v>
      </c>
      <c r="O6" s="8">
        <f>'2_Preprocessed'!$D135</f>
        <v>1.1628578220050101</v>
      </c>
      <c r="P6" s="8">
        <f>'2_Preprocessed'!$D136</f>
        <v>1.329659781968334</v>
      </c>
      <c r="Q6" s="9">
        <f t="shared" si="0"/>
        <v>4.8669552890909857</v>
      </c>
    </row>
    <row r="7" spans="1:17">
      <c r="A7" s="4">
        <f t="shared" si="1"/>
        <v>6</v>
      </c>
      <c r="B7" s="4">
        <f t="shared" si="2"/>
        <v>136</v>
      </c>
      <c r="C7" s="8" t="str">
        <f>'1_RawData'!A137</f>
        <v>1960-04</v>
      </c>
      <c r="D7" s="8" t="str" cm="1">
        <f t="array" ref="D7">INDEX('1_RawData'!A:A, B7+2)</f>
        <v>1960-05</v>
      </c>
      <c r="E7" s="8">
        <f>'2_Preprocessed'!$D126</f>
        <v>1.3354087951823714</v>
      </c>
      <c r="F7" s="8">
        <f>'2_Preprocessed'!$D127</f>
        <v>1.6169138832476955</v>
      </c>
      <c r="G7" s="8">
        <f>'2_Preprocessed'!$D128</f>
        <v>1.9769732514637497</v>
      </c>
      <c r="H7" s="8">
        <f>'2_Preprocessed'!$D129</f>
        <v>2.0249040231186854</v>
      </c>
      <c r="I7" s="8">
        <f>'2_Preprocessed'!$D130</f>
        <v>1.5704838094325702</v>
      </c>
      <c r="J7" s="8">
        <f>'2_Preprocessed'!$D131</f>
        <v>1.2595809560160873</v>
      </c>
      <c r="K7" s="8">
        <f>'2_Preprocessed'!$D132</f>
        <v>0.97700338222493543</v>
      </c>
      <c r="L7" s="8">
        <f>'2_Preprocessed'!$D133</f>
        <v>1.2477005876502856</v>
      </c>
      <c r="M7" s="8">
        <f>'2_Preprocessed'!$H1</f>
        <v>0.41464356864858859</v>
      </c>
      <c r="N7" s="8">
        <f>'2_Preprocessed'!$D135</f>
        <v>1.1628578220050101</v>
      </c>
      <c r="O7" s="8">
        <f>'2_Preprocessed'!$D136</f>
        <v>1.329659781968334</v>
      </c>
      <c r="P7" s="8">
        <f>'2_Preprocessed'!$D137</f>
        <v>1.5600434905251899</v>
      </c>
      <c r="Q7" s="9">
        <f t="shared" si="0"/>
        <v>4.9695614568107516</v>
      </c>
    </row>
    <row r="8" spans="1:17">
      <c r="A8" s="4">
        <f t="shared" si="1"/>
        <v>7</v>
      </c>
      <c r="B8" s="4">
        <f t="shared" si="2"/>
        <v>137</v>
      </c>
      <c r="C8" s="8" t="str">
        <f>'1_RawData'!A138</f>
        <v>1960-05</v>
      </c>
      <c r="D8" s="8" t="str" cm="1">
        <f t="array" ref="D8">INDEX('1_RawData'!A:A, B8+2)</f>
        <v>1960-06</v>
      </c>
      <c r="E8" s="8">
        <f>'2_Preprocessed'!$D127</f>
        <v>1.6169138832476955</v>
      </c>
      <c r="F8" s="8">
        <f>'2_Preprocessed'!$D128</f>
        <v>1.9769732514637497</v>
      </c>
      <c r="G8" s="8">
        <f>'2_Preprocessed'!$D129</f>
        <v>2.0249040231186854</v>
      </c>
      <c r="H8" s="8">
        <f>'2_Preprocessed'!$D130</f>
        <v>1.5704838094325702</v>
      </c>
      <c r="I8" s="8">
        <f>'2_Preprocessed'!$D131</f>
        <v>1.2595809560160873</v>
      </c>
      <c r="J8" s="8">
        <f>'2_Preprocessed'!$D132</f>
        <v>0.97700338222493543</v>
      </c>
      <c r="K8" s="8">
        <f>'2_Preprocessed'!$D133</f>
        <v>1.2477005876502856</v>
      </c>
      <c r="L8" s="8">
        <f>'2_Preprocessed'!$H1</f>
        <v>0.41464356864858859</v>
      </c>
      <c r="M8" s="8">
        <f>'2_Preprocessed'!$D135</f>
        <v>1.1628578220050101</v>
      </c>
      <c r="N8" s="8">
        <f>'2_Preprocessed'!$D136</f>
        <v>1.329659781968334</v>
      </c>
      <c r="O8" s="8">
        <f>'2_Preprocessed'!$D137</f>
        <v>1.5600434905251899</v>
      </c>
      <c r="P8" s="8">
        <f>'2_Preprocessed'!$D138</f>
        <v>1.6169138832476955</v>
      </c>
      <c r="Q8" s="9">
        <f t="shared" si="0"/>
        <v>5.0524879939102982</v>
      </c>
    </row>
    <row r="9" spans="1:17">
      <c r="A9" s="4">
        <f t="shared" si="1"/>
        <v>8</v>
      </c>
      <c r="B9" s="4">
        <f t="shared" si="2"/>
        <v>138</v>
      </c>
      <c r="C9" s="8" t="str">
        <f>'1_RawData'!A139</f>
        <v>1960-06</v>
      </c>
      <c r="D9" s="8" t="str" cm="1">
        <f t="array" ref="D9">INDEX('1_RawData'!A:A, B9+2)</f>
        <v>1960-07</v>
      </c>
      <c r="E9" s="8">
        <f>'2_Preprocessed'!$D128</f>
        <v>1.9769732514637497</v>
      </c>
      <c r="F9" s="8">
        <f>'2_Preprocessed'!$D129</f>
        <v>2.0249040231186854</v>
      </c>
      <c r="G9" s="8">
        <f>'2_Preprocessed'!$D130</f>
        <v>1.5704838094325702</v>
      </c>
      <c r="H9" s="8">
        <f>'2_Preprocessed'!$D131</f>
        <v>1.2595809560160873</v>
      </c>
      <c r="I9" s="8">
        <f>'2_Preprocessed'!$D132</f>
        <v>0.97700338222493543</v>
      </c>
      <c r="J9" s="8">
        <f>'2_Preprocessed'!$D133</f>
        <v>1.2477005876502856</v>
      </c>
      <c r="K9" s="8">
        <f>'2_Preprocessed'!$H1</f>
        <v>0.41464356864858859</v>
      </c>
      <c r="L9" s="8">
        <f>'2_Preprocessed'!$D135</f>
        <v>1.1628578220050101</v>
      </c>
      <c r="M9" s="8">
        <f>'2_Preprocessed'!$D136</f>
        <v>1.329659781968334</v>
      </c>
      <c r="N9" s="8">
        <f>'2_Preprocessed'!$D137</f>
        <v>1.5600434905251899</v>
      </c>
      <c r="O9" s="8">
        <f>'2_Preprocessed'!$D138</f>
        <v>1.6169138832476955</v>
      </c>
      <c r="P9" s="8">
        <f>'2_Preprocessed'!$D139</f>
        <v>1.9190716177057281</v>
      </c>
      <c r="Q9" s="9">
        <f t="shared" si="0"/>
        <v>5.1571368312904253</v>
      </c>
    </row>
    <row r="10" spans="1:17">
      <c r="A10" s="4">
        <f t="shared" si="1"/>
        <v>9</v>
      </c>
      <c r="B10" s="4">
        <f t="shared" si="2"/>
        <v>139</v>
      </c>
      <c r="C10" s="8" t="str">
        <f>'1_RawData'!A140</f>
        <v>1960-07</v>
      </c>
      <c r="D10" s="8" t="str" cm="1">
        <f t="array" ref="D10">INDEX('1_RawData'!A:A, B10+2)</f>
        <v>1960-08</v>
      </c>
      <c r="E10" s="8">
        <f>'2_Preprocessed'!$D129</f>
        <v>2.0249040231186854</v>
      </c>
      <c r="F10" s="8">
        <f>'2_Preprocessed'!$D130</f>
        <v>1.5704838094325702</v>
      </c>
      <c r="G10" s="8">
        <f>'2_Preprocessed'!$D131</f>
        <v>1.2595809560160873</v>
      </c>
      <c r="H10" s="8">
        <f>'2_Preprocessed'!$D132</f>
        <v>0.97700338222493543</v>
      </c>
      <c r="I10" s="8">
        <f>'2_Preprocessed'!$D133</f>
        <v>1.2477005876502856</v>
      </c>
      <c r="J10" s="8">
        <f>'2_Preprocessed'!$H1</f>
        <v>0.41464356864858859</v>
      </c>
      <c r="K10" s="8">
        <f>'2_Preprocessed'!$D135</f>
        <v>1.1628578220050101</v>
      </c>
      <c r="L10" s="8">
        <f>'2_Preprocessed'!$D136</f>
        <v>1.329659781968334</v>
      </c>
      <c r="M10" s="8">
        <f>'2_Preprocessed'!$D137</f>
        <v>1.5600434905251899</v>
      </c>
      <c r="N10" s="8">
        <f>'2_Preprocessed'!$D138</f>
        <v>1.6169138832476955</v>
      </c>
      <c r="O10" s="8">
        <f>'2_Preprocessed'!$D139</f>
        <v>1.9190716177057281</v>
      </c>
      <c r="P10" s="8">
        <f>'2_Preprocessed'!$D140</f>
        <v>2.2824520177303795</v>
      </c>
      <c r="Q10" s="9">
        <f t="shared" si="0"/>
        <v>5.281782300785463</v>
      </c>
    </row>
    <row r="11" spans="1:17">
      <c r="A11" s="4">
        <f t="shared" si="1"/>
        <v>10</v>
      </c>
      <c r="B11" s="4">
        <f t="shared" si="2"/>
        <v>140</v>
      </c>
      <c r="C11" s="8" t="str">
        <f>'1_RawData'!A141</f>
        <v>1960-08</v>
      </c>
      <c r="D11" s="8" t="str" cm="1">
        <f t="array" ref="D11">INDEX('1_RawData'!A:A, B11+2)</f>
        <v>1960-09</v>
      </c>
      <c r="E11" s="8">
        <f>'2_Preprocessed'!$D130</f>
        <v>1.5704838094325702</v>
      </c>
      <c r="F11" s="8">
        <f>'2_Preprocessed'!$D131</f>
        <v>1.2595809560160873</v>
      </c>
      <c r="G11" s="8">
        <f>'2_Preprocessed'!$D132</f>
        <v>0.97700338222493543</v>
      </c>
      <c r="H11" s="8">
        <f>'2_Preprocessed'!$D133</f>
        <v>1.2477005876502856</v>
      </c>
      <c r="I11" s="8">
        <f>'2_Preprocessed'!$H1</f>
        <v>0.41464356864858859</v>
      </c>
      <c r="J11" s="8">
        <f>'2_Preprocessed'!$D135</f>
        <v>1.1628578220050101</v>
      </c>
      <c r="K11" s="8">
        <f>'2_Preprocessed'!$D136</f>
        <v>1.329659781968334</v>
      </c>
      <c r="L11" s="8">
        <f>'2_Preprocessed'!$D137</f>
        <v>1.5600434905251899</v>
      </c>
      <c r="M11" s="8">
        <f>'2_Preprocessed'!$D138</f>
        <v>1.6169138832476955</v>
      </c>
      <c r="N11" s="8">
        <f>'2_Preprocessed'!$D139</f>
        <v>1.9190716177057281</v>
      </c>
      <c r="O11" s="8">
        <f>'2_Preprocessed'!$D140</f>
        <v>2.2824520177303795</v>
      </c>
      <c r="P11" s="8">
        <f>'2_Preprocessed'!$D141</f>
        <v>2.2196026004469989</v>
      </c>
      <c r="Q11" s="9">
        <f t="shared" si="0"/>
        <v>5.359442477903781</v>
      </c>
    </row>
    <row r="12" spans="1:17">
      <c r="A12" s="4">
        <f t="shared" si="1"/>
        <v>11</v>
      </c>
      <c r="B12" s="4">
        <f t="shared" si="2"/>
        <v>141</v>
      </c>
      <c r="C12" s="8" t="str">
        <f>'1_RawData'!A142</f>
        <v>1960-09</v>
      </c>
      <c r="D12" s="8" t="str" cm="1">
        <f t="array" ref="D12">INDEX('1_RawData'!A:A, B12+2)</f>
        <v>1960-10</v>
      </c>
      <c r="E12" s="8">
        <f>'2_Preprocessed'!$D131</f>
        <v>1.2595809560160873</v>
      </c>
      <c r="F12" s="8">
        <f>'2_Preprocessed'!$D132</f>
        <v>0.97700338222493543</v>
      </c>
      <c r="G12" s="8">
        <f>'2_Preprocessed'!$D133</f>
        <v>1.2477005876502856</v>
      </c>
      <c r="H12" s="8">
        <f>'2_Preprocessed'!$H1</f>
        <v>0.41464356864858859</v>
      </c>
      <c r="I12" s="8">
        <f>'2_Preprocessed'!$D135</f>
        <v>1.1628578220050101</v>
      </c>
      <c r="J12" s="8">
        <f>'2_Preprocessed'!$D136</f>
        <v>1.329659781968334</v>
      </c>
      <c r="K12" s="8">
        <f>'2_Preprocessed'!$D137</f>
        <v>1.5600434905251899</v>
      </c>
      <c r="L12" s="8">
        <f>'2_Preprocessed'!$D138</f>
        <v>1.6169138832476955</v>
      </c>
      <c r="M12" s="8">
        <f>'2_Preprocessed'!$D139</f>
        <v>1.9190716177057281</v>
      </c>
      <c r="N12" s="8">
        <f>'2_Preprocessed'!$D140</f>
        <v>2.2824520177303795</v>
      </c>
      <c r="O12" s="8">
        <f>'2_Preprocessed'!$D141</f>
        <v>2.2196026004469989</v>
      </c>
      <c r="P12" s="8">
        <f>'2_Preprocessed'!$D142</f>
        <v>1.7941804986023895</v>
      </c>
      <c r="Q12" s="9">
        <f t="shared" si="0"/>
        <v>5.4292069347036955</v>
      </c>
    </row>
    <row r="13" spans="1:17">
      <c r="A13" s="4">
        <f t="shared" si="1"/>
        <v>12</v>
      </c>
      <c r="B13" s="4">
        <f t="shared" si="2"/>
        <v>142</v>
      </c>
      <c r="C13" s="8" t="str">
        <f>'1_RawData'!A143</f>
        <v>1960-10</v>
      </c>
      <c r="D13" s="8" t="str" cm="1">
        <f t="array" ref="D13">INDEX('1_RawData'!A:A, B13+2)</f>
        <v>1960-11</v>
      </c>
      <c r="E13" s="8">
        <f>'2_Preprocessed'!$D132</f>
        <v>0.97700338222493543</v>
      </c>
      <c r="F13" s="8">
        <f>'2_Preprocessed'!$D133</f>
        <v>1.2477005876502856</v>
      </c>
      <c r="G13" s="8">
        <f>'2_Preprocessed'!$H1</f>
        <v>0.41464356864858859</v>
      </c>
      <c r="H13" s="8">
        <f>'2_Preprocessed'!$D135</f>
        <v>1.1628578220050101</v>
      </c>
      <c r="I13" s="8">
        <f>'2_Preprocessed'!$D136</f>
        <v>1.329659781968334</v>
      </c>
      <c r="J13" s="8">
        <f>'2_Preprocessed'!$D137</f>
        <v>1.5600434905251899</v>
      </c>
      <c r="K13" s="8">
        <f>'2_Preprocessed'!$D138</f>
        <v>1.6169138832476955</v>
      </c>
      <c r="L13" s="8">
        <f>'2_Preprocessed'!$D139</f>
        <v>1.9190716177057281</v>
      </c>
      <c r="M13" s="8">
        <f>'2_Preprocessed'!$D140</f>
        <v>2.2824520177303795</v>
      </c>
      <c r="N13" s="8">
        <f>'2_Preprocessed'!$D141</f>
        <v>2.2196026004469989</v>
      </c>
      <c r="O13" s="8">
        <f>'2_Preprocessed'!$D142</f>
        <v>1.7941804986023895</v>
      </c>
      <c r="P13" s="8">
        <f>'2_Preprocessed'!$D143</f>
        <v>1.5600434905251899</v>
      </c>
      <c r="Q13" s="9">
        <f t="shared" si="0"/>
        <v>5.5066758981627304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952C-20D1-4123-8BE2-02E64D65C3F6}">
  <dimension ref="A4:P150"/>
  <sheetViews>
    <sheetView workbookViewId="0">
      <selection activeCell="F14" sqref="F14"/>
    </sheetView>
  </sheetViews>
  <sheetFormatPr defaultRowHeight="15"/>
  <cols>
    <col min="1" max="1" width="21.28515625" style="4" customWidth="1"/>
    <col min="2" max="2" width="13.7109375" style="3" bestFit="1" customWidth="1"/>
    <col min="3" max="3" width="14.7109375" style="4" bestFit="1" customWidth="1"/>
    <col min="4" max="6" width="13.42578125" style="4" bestFit="1" customWidth="1"/>
    <col min="7" max="7" width="14" style="4" bestFit="1" customWidth="1"/>
    <col min="8" max="8" width="13.42578125" style="4" bestFit="1" customWidth="1"/>
    <col min="9" max="9" width="13.7109375" style="4" bestFit="1" customWidth="1"/>
    <col min="10" max="12" width="13.42578125" style="4" bestFit="1" customWidth="1"/>
    <col min="13" max="13" width="13.7109375" style="4" bestFit="1" customWidth="1"/>
    <col min="14" max="14" width="9.140625" style="4"/>
    <col min="15" max="15" width="13.42578125" style="4" bestFit="1" customWidth="1"/>
    <col min="16" max="16" width="9.140625" style="4"/>
    <col min="17" max="17" width="13.5703125" style="4" bestFit="1" customWidth="1"/>
    <col min="18" max="16384" width="9.140625" style="4"/>
  </cols>
  <sheetData>
    <row r="4" spans="1:16">
      <c r="A4" s="2" t="s">
        <v>170</v>
      </c>
    </row>
    <row r="5" spans="1:16">
      <c r="A5" s="2" t="s">
        <v>169</v>
      </c>
      <c r="B5" s="3">
        <v>8</v>
      </c>
      <c r="C5" s="2" t="s">
        <v>262</v>
      </c>
    </row>
    <row r="6" spans="1:16">
      <c r="A6" s="2"/>
    </row>
    <row r="7" spans="1:16">
      <c r="A7" s="2" t="s">
        <v>171</v>
      </c>
      <c r="B7" s="3">
        <v>0.2</v>
      </c>
    </row>
    <row r="8" spans="1:16">
      <c r="A8" s="2"/>
    </row>
    <row r="9" spans="1:16">
      <c r="A9" s="2" t="s">
        <v>172</v>
      </c>
      <c r="B9" s="3">
        <v>9.9999999999999995E-7</v>
      </c>
    </row>
    <row r="11" spans="1:16">
      <c r="A11" s="2" t="s">
        <v>173</v>
      </c>
    </row>
    <row r="12" spans="1:16">
      <c r="A12" s="2" t="s">
        <v>153</v>
      </c>
      <c r="B12" s="3" cm="1">
        <f t="array" ref="B12">INDEX('4_TestWindows'!B:B, $B$5+1)</f>
        <v>138</v>
      </c>
    </row>
    <row r="13" spans="1:16">
      <c r="A13" s="2" t="s">
        <v>0</v>
      </c>
      <c r="B13" s="3" t="str" cm="1">
        <f t="array" ref="B13">INDEX('4_TestWindows'!C:C, $B$5+1)</f>
        <v>1960-06</v>
      </c>
    </row>
    <row r="14" spans="1:16">
      <c r="A14" s="2" t="s">
        <v>174</v>
      </c>
      <c r="B14" s="3" t="str" cm="1">
        <f t="array" ref="B14">INDEX('4_TestWindows'!D:D, $B$5+1)</f>
        <v>1960-07</v>
      </c>
    </row>
    <row r="16" spans="1:16">
      <c r="B16" s="5" cm="1">
        <f t="array" ref="B16">INDEX('4_TestWindows'!E:E, $B$5+1)</f>
        <v>1.9769732514637497</v>
      </c>
      <c r="C16" s="5" cm="1">
        <f t="array" ref="C16">INDEX('4_TestWindows'!F:F, $B$5+1)</f>
        <v>2.0249040231186854</v>
      </c>
      <c r="D16" s="5" cm="1">
        <f t="array" ref="D16">INDEX('4_TestWindows'!G:G, $B$5+1)</f>
        <v>1.5704838094325702</v>
      </c>
      <c r="E16" s="5" cm="1">
        <f t="array" ref="E16">INDEX('4_TestWindows'!H:H, $B$5+1)</f>
        <v>1.2595809560160873</v>
      </c>
      <c r="F16" s="5" cm="1">
        <f t="array" ref="F16">INDEX('4_TestWindows'!I:I, $B$5+1)</f>
        <v>0.97700338222493543</v>
      </c>
      <c r="G16" s="5" cm="1">
        <f t="array" ref="G16">INDEX('4_TestWindows'!J:J, $B$5+1)</f>
        <v>1.2477005876502856</v>
      </c>
      <c r="H16" s="5" cm="1">
        <f t="array" ref="H16">INDEX('4_TestWindows'!K:K, $B$5+1)</f>
        <v>0.41464356864858859</v>
      </c>
      <c r="I16" s="5" cm="1">
        <f t="array" ref="I16">INDEX('4_TestWindows'!L:L, $B$5+1)</f>
        <v>1.1628578220050101</v>
      </c>
      <c r="J16" s="5" cm="1">
        <f t="array" ref="J16">INDEX('4_TestWindows'!M:M, $B$5+1)</f>
        <v>1.329659781968334</v>
      </c>
      <c r="K16" s="5" cm="1">
        <f t="array" ref="K16">INDEX('4_TestWindows'!N:N, $B$5+1)</f>
        <v>1.5600434905251899</v>
      </c>
      <c r="L16" s="5" cm="1">
        <f t="array" ref="L16">INDEX('4_TestWindows'!O:O, $B$5+1)</f>
        <v>1.6169138832476955</v>
      </c>
      <c r="M16" s="5" cm="1">
        <f t="array" ref="M16">INDEX('4_TestWindows'!P:P, $B$5+1)</f>
        <v>1.9190716177057281</v>
      </c>
      <c r="N16" s="5"/>
      <c r="O16" s="5" cm="1">
        <f t="array" ref="O16">INDEX('4_TestWindows'!Q:Q, $B$5+1)</f>
        <v>5.1571368312904253</v>
      </c>
      <c r="P16" s="5"/>
    </row>
    <row r="18" spans="1:11">
      <c r="A18" s="4" t="s">
        <v>175</v>
      </c>
      <c r="B18" s="4" t="s">
        <v>153</v>
      </c>
      <c r="C18" s="4" t="s">
        <v>0</v>
      </c>
      <c r="D18" s="4" t="s">
        <v>174</v>
      </c>
      <c r="E18" s="4" t="s">
        <v>176</v>
      </c>
      <c r="F18" s="4" t="s">
        <v>177</v>
      </c>
      <c r="G18" s="4" t="s">
        <v>178</v>
      </c>
      <c r="H18" s="4" t="s">
        <v>179</v>
      </c>
      <c r="I18" s="4" t="s">
        <v>180</v>
      </c>
      <c r="J18" s="4" t="s">
        <v>181</v>
      </c>
    </row>
    <row r="19" spans="1:11">
      <c r="A19" s="5">
        <f>ROW()-18</f>
        <v>1</v>
      </c>
      <c r="B19" s="5" cm="1">
        <f t="array" ref="B19">INDEX('3_TrainWindows'!B:B, A19+1)</f>
        <v>12</v>
      </c>
      <c r="C19" s="5" t="str" cm="1">
        <f t="array" ref="C19">INDEX('3_TrainWindows'!C:C, A19+1)</f>
        <v>1949-01</v>
      </c>
      <c r="D19" s="5" t="str" cm="1">
        <f t="array" ref="D19">INDEX('3_TrainWindows'!D:D, A19+1)</f>
        <v>1949-12</v>
      </c>
      <c r="E19" s="4">
        <f>SUMPRODUCT($B$16:$M$16,'3_TrainWindows'!$E2:$P2)</f>
        <v>-27.685465387751837</v>
      </c>
      <c r="F19" s="4">
        <f>E19/($O$16 * '3_TrainWindows'!R2 + $B$9)</f>
        <v>-0.97569056109873731</v>
      </c>
      <c r="G19" s="4">
        <f>F19/$B$7</f>
        <v>-4.8784528054936862</v>
      </c>
      <c r="H19" s="4">
        <f>EXP(G19-G$140)</f>
        <v>5.5270339339483973E-5</v>
      </c>
      <c r="I19" s="5">
        <f t="shared" ref="I19:I50" si="0">H19/$H$140</f>
        <v>1.7996143847079537E-6</v>
      </c>
      <c r="J19" s="4" cm="1">
        <f t="array" ref="J19">INDEX('3_TrainWindows'!Q:Q, A19+1)</f>
        <v>-1.7885335033462055</v>
      </c>
      <c r="K19" s="4">
        <f>SUMPRODUCT($B$16:$M$16,'3_TrainWindows'!$E2:$P2)</f>
        <v>-27.685465387751837</v>
      </c>
    </row>
    <row r="20" spans="1:11">
      <c r="A20" s="5">
        <f t="shared" ref="A20:A83" si="1">ROW()-18</f>
        <v>2</v>
      </c>
      <c r="B20" s="5" cm="1">
        <f t="array" ref="B20">INDEX('3_TrainWindows'!B:B, A20+1)</f>
        <v>13</v>
      </c>
      <c r="C20" s="5" t="str" cm="1">
        <f t="array" ref="C20">INDEX('3_TrainWindows'!C:C, A20+1)</f>
        <v>1949-02</v>
      </c>
      <c r="D20" s="5" t="str" cm="1">
        <f t="array" ref="D20">INDEX('3_TrainWindows'!D:D, A20+1)</f>
        <v>1950-01</v>
      </c>
      <c r="E20" s="4">
        <f>SUMPRODUCT($B$16:$M$16,'3_TrainWindows'!$E3:$P3)</f>
        <v>-27.435021123493403</v>
      </c>
      <c r="F20" s="4">
        <f>E20/($O$16 * '3_TrainWindows'!R3 + $B$9)</f>
        <v>-0.97059222198949113</v>
      </c>
      <c r="G20" s="4">
        <f t="shared" ref="G20:G83" si="2">F20/$B$7</f>
        <v>-4.8529611099474552</v>
      </c>
      <c r="H20" s="4">
        <f t="shared" ref="H20:H83" si="3">EXP(G20-G$140)</f>
        <v>5.6697385640707006E-5</v>
      </c>
      <c r="I20" s="5">
        <f t="shared" si="0"/>
        <v>1.8460793256150675E-6</v>
      </c>
      <c r="J20" s="4" cm="1">
        <f t="array" ref="J20">INDEX('3_TrainWindows'!Q:Q, A20+1)</f>
        <v>-1.5682243378478569</v>
      </c>
      <c r="K20" s="4">
        <f>SUMPRODUCT($B$16:$M$16,'3_TrainWindows'!$E3:$P3)</f>
        <v>-27.435021123493403</v>
      </c>
    </row>
    <row r="21" spans="1:11">
      <c r="A21" s="5">
        <f t="shared" si="1"/>
        <v>3</v>
      </c>
      <c r="B21" s="5" cm="1">
        <f t="array" ref="B21">INDEX('3_TrainWindows'!B:B, A21+1)</f>
        <v>14</v>
      </c>
      <c r="C21" s="5" t="str" cm="1">
        <f t="array" ref="C21">INDEX('3_TrainWindows'!C:C, A21+1)</f>
        <v>1949-03</v>
      </c>
      <c r="D21" s="5" t="str" cm="1">
        <f t="array" ref="D21">INDEX('3_TrainWindows'!D:D, A21+1)</f>
        <v>1950-02</v>
      </c>
      <c r="E21" s="4">
        <f>SUMPRODUCT($B$16:$M$16,'3_TrainWindows'!$E4:$P4)</f>
        <v>-26.79956757436284</v>
      </c>
      <c r="F21" s="4">
        <f>E21/($O$16 * '3_TrainWindows'!R4 + $B$9)</f>
        <v>-0.95644472163106387</v>
      </c>
      <c r="G21" s="4">
        <f t="shared" si="2"/>
        <v>-4.7822236081553191</v>
      </c>
      <c r="H21" s="4">
        <f t="shared" si="3"/>
        <v>6.0853272807886153E-5</v>
      </c>
      <c r="I21" s="5">
        <f t="shared" si="0"/>
        <v>1.9813959242945322E-6</v>
      </c>
      <c r="J21" s="4" cm="1">
        <f t="array" ref="J21">INDEX('3_TrainWindows'!Q:Q, A21+1)</f>
        <v>-1.296960071544921</v>
      </c>
      <c r="K21" s="4">
        <f>SUMPRODUCT($B$16:$M$16,'3_TrainWindows'!$E4:$P4)</f>
        <v>-26.79956757436284</v>
      </c>
    </row>
    <row r="22" spans="1:11">
      <c r="A22" s="5">
        <f t="shared" si="1"/>
        <v>4</v>
      </c>
      <c r="B22" s="5" cm="1">
        <f t="array" ref="B22">INDEX('3_TrainWindows'!B:B, A22+1)</f>
        <v>15</v>
      </c>
      <c r="C22" s="5" t="str" cm="1">
        <f t="array" ref="C22">INDEX('3_TrainWindows'!C:C, A22+1)</f>
        <v>1949-04</v>
      </c>
      <c r="D22" s="5" t="str" cm="1">
        <f t="array" ref="D22">INDEX('3_TrainWindows'!D:D, A22+1)</f>
        <v>1950-03</v>
      </c>
      <c r="E22" s="4">
        <f>SUMPRODUCT($B$16:$M$16,'3_TrainWindows'!$E5:$P5)</f>
        <v>-26.108796534991882</v>
      </c>
      <c r="F22" s="4">
        <f>E22/($O$16 * '3_TrainWindows'!R5 + $B$9)</f>
        <v>-0.93878121000067949</v>
      </c>
      <c r="G22" s="4">
        <f t="shared" si="2"/>
        <v>-4.6939060500033971</v>
      </c>
      <c r="H22" s="4">
        <f t="shared" si="3"/>
        <v>6.6472156516653868E-5</v>
      </c>
      <c r="I22" s="5">
        <f t="shared" si="0"/>
        <v>2.1643480116010757E-6</v>
      </c>
      <c r="J22" s="4" cm="1">
        <f t="array" ref="J22">INDEX('3_TrainWindows'!Q:Q, A22+1)</f>
        <v>-1.4018335465670129</v>
      </c>
      <c r="K22" s="4">
        <f>SUMPRODUCT($B$16:$M$16,'3_TrainWindows'!$E5:$P5)</f>
        <v>-26.108796534991882</v>
      </c>
    </row>
    <row r="23" spans="1:11">
      <c r="A23" s="5">
        <f t="shared" si="1"/>
        <v>5</v>
      </c>
      <c r="B23" s="5" cm="1">
        <f t="array" ref="B23">INDEX('3_TrainWindows'!B:B, A23+1)</f>
        <v>16</v>
      </c>
      <c r="C23" s="5" t="str" cm="1">
        <f t="array" ref="C23">INDEX('3_TrainWindows'!C:C, A23+1)</f>
        <v>1949-05</v>
      </c>
      <c r="D23" s="5" t="str" cm="1">
        <f t="array" ref="D23">INDEX('3_TrainWindows'!D:D, A23+1)</f>
        <v>1950-04</v>
      </c>
      <c r="E23" s="4">
        <f>SUMPRODUCT($B$16:$M$16,'3_TrainWindows'!$E6:$P6)</f>
        <v>-25.41429344725891</v>
      </c>
      <c r="F23" s="4">
        <f>E23/($O$16 * '3_TrainWindows'!R6 + $B$9)</f>
        <v>-0.91886938254254935</v>
      </c>
      <c r="G23" s="4">
        <f t="shared" si="2"/>
        <v>-4.5943469127127461</v>
      </c>
      <c r="H23" s="4">
        <f t="shared" si="3"/>
        <v>7.3430714243304793E-5</v>
      </c>
      <c r="I23" s="5">
        <f t="shared" si="0"/>
        <v>2.3909201790846884E-6</v>
      </c>
      <c r="J23" s="4" cm="1">
        <f t="array" ref="J23">INDEX('3_TrainWindows'!Q:Q, A23+1)</f>
        <v>-1.5874412514856264</v>
      </c>
      <c r="K23" s="4">
        <f>SUMPRODUCT($B$16:$M$16,'3_TrainWindows'!$E6:$P6)</f>
        <v>-25.41429344725891</v>
      </c>
    </row>
    <row r="24" spans="1:11">
      <c r="A24" s="5">
        <f t="shared" si="1"/>
        <v>6</v>
      </c>
      <c r="B24" s="5" cm="1">
        <f t="array" ref="B24">INDEX('3_TrainWindows'!B:B, A24+1)</f>
        <v>17</v>
      </c>
      <c r="C24" s="5" t="str" cm="1">
        <f t="array" ref="C24">INDEX('3_TrainWindows'!C:C, A24+1)</f>
        <v>1949-06</v>
      </c>
      <c r="D24" s="5" t="str" cm="1">
        <f t="array" ref="D24">INDEX('3_TrainWindows'!D:D, A24+1)</f>
        <v>1950-05</v>
      </c>
      <c r="E24" s="4">
        <f>SUMPRODUCT($B$16:$M$16,'3_TrainWindows'!$E7:$P7)</f>
        <v>-25.175803795087404</v>
      </c>
      <c r="F24" s="4">
        <f>E24/($O$16 * '3_TrainWindows'!R7 + $B$9)</f>
        <v>-0.9143114909527934</v>
      </c>
      <c r="G24" s="4">
        <f t="shared" si="2"/>
        <v>-4.5715574547639664</v>
      </c>
      <c r="H24" s="4">
        <f t="shared" si="3"/>
        <v>7.5123374565701838E-5</v>
      </c>
      <c r="I24" s="5">
        <f t="shared" si="0"/>
        <v>2.446033570842608E-6</v>
      </c>
      <c r="J24" s="4" cm="1">
        <f t="array" ref="J24">INDEX('3_TrainWindows'!Q:Q, A24+1)</f>
        <v>-1.1638664467067135</v>
      </c>
      <c r="K24" s="4">
        <f>SUMPRODUCT($B$16:$M$16,'3_TrainWindows'!$E7:$P7)</f>
        <v>-25.175803795087404</v>
      </c>
    </row>
    <row r="25" spans="1:11">
      <c r="A25" s="5">
        <f t="shared" si="1"/>
        <v>7</v>
      </c>
      <c r="B25" s="5" cm="1">
        <f t="array" ref="B25">INDEX('3_TrainWindows'!B:B, A25+1)</f>
        <v>18</v>
      </c>
      <c r="C25" s="5" t="str" cm="1">
        <f t="array" ref="C25">INDEX('3_TrainWindows'!C:C, A25+1)</f>
        <v>1949-07</v>
      </c>
      <c r="D25" s="5" t="str" cm="1">
        <f t="array" ref="D25">INDEX('3_TrainWindows'!D:D, A25+1)</f>
        <v>1950-06</v>
      </c>
      <c r="E25" s="4">
        <f>SUMPRODUCT($B$16:$M$16,'3_TrainWindows'!$E8:$P8)</f>
        <v>-24.460513547567736</v>
      </c>
      <c r="F25" s="4">
        <f>E25/($O$16 * '3_TrainWindows'!R8 + $B$9)</f>
        <v>-0.89800262136214815</v>
      </c>
      <c r="G25" s="4">
        <f t="shared" si="2"/>
        <v>-4.4900131068107401</v>
      </c>
      <c r="H25" s="4">
        <f t="shared" si="3"/>
        <v>8.1505956558043319E-5</v>
      </c>
      <c r="I25" s="5">
        <f t="shared" si="0"/>
        <v>2.6538518419490092E-6</v>
      </c>
      <c r="J25" s="4" cm="1">
        <f t="array" ref="J25">INDEX('3_TrainWindows'!Q:Q, A25+1)</f>
        <v>-0.84587735662016772</v>
      </c>
      <c r="K25" s="4">
        <f>SUMPRODUCT($B$16:$M$16,'3_TrainWindows'!$E8:$P8)</f>
        <v>-24.460513547567736</v>
      </c>
    </row>
    <row r="26" spans="1:11">
      <c r="A26" s="5">
        <f t="shared" si="1"/>
        <v>8</v>
      </c>
      <c r="B26" s="5" cm="1">
        <f t="array" ref="B26">INDEX('3_TrainWindows'!B:B, A26+1)</f>
        <v>19</v>
      </c>
      <c r="C26" s="5" t="str" cm="1">
        <f t="array" ref="C26">INDEX('3_TrainWindows'!C:C, A26+1)</f>
        <v>1949-08</v>
      </c>
      <c r="D26" s="5" t="str" cm="1">
        <f t="array" ref="D26">INDEX('3_TrainWindows'!D:D, A26+1)</f>
        <v>1950-07</v>
      </c>
      <c r="E26" s="4">
        <f>SUMPRODUCT($B$16:$M$16,'3_TrainWindows'!$E9:$P9)</f>
        <v>-24.295483027387792</v>
      </c>
      <c r="F26" s="4">
        <f>E26/($O$16 * '3_TrainWindows'!R9 + $B$9)</f>
        <v>-0.90297015681057302</v>
      </c>
      <c r="G26" s="4">
        <f t="shared" si="2"/>
        <v>-4.5148507840528644</v>
      </c>
      <c r="H26" s="4">
        <f t="shared" si="3"/>
        <v>7.9506471982822936E-5</v>
      </c>
      <c r="I26" s="5">
        <f t="shared" si="0"/>
        <v>2.5887481851491727E-6</v>
      </c>
      <c r="J26" s="4" cm="1">
        <f t="array" ref="J26">INDEX('3_TrainWindows'!Q:Q, A26+1)</f>
        <v>-0.84587735662016772</v>
      </c>
      <c r="K26" s="4">
        <f>SUMPRODUCT($B$16:$M$16,'3_TrainWindows'!$E9:$P9)</f>
        <v>-24.295483027387792</v>
      </c>
    </row>
    <row r="27" spans="1:11">
      <c r="A27" s="5">
        <f t="shared" si="1"/>
        <v>9</v>
      </c>
      <c r="B27" s="5" cm="1">
        <f t="array" ref="B27">INDEX('3_TrainWindows'!B:B, A27+1)</f>
        <v>20</v>
      </c>
      <c r="C27" s="5" t="str" cm="1">
        <f t="array" ref="C27">INDEX('3_TrainWindows'!C:C, A27+1)</f>
        <v>1949-09</v>
      </c>
      <c r="D27" s="5" t="str" cm="1">
        <f t="array" ref="D27">INDEX('3_TrainWindows'!D:D, A27+1)</f>
        <v>1950-08</v>
      </c>
      <c r="E27" s="4">
        <f>SUMPRODUCT($B$16:$M$16,'3_TrainWindows'!$E10:$P10)</f>
        <v>-24.344513047570125</v>
      </c>
      <c r="F27" s="4">
        <f>E27/($O$16 * '3_TrainWindows'!R10 + $B$9)</f>
        <v>-0.91626099861871113</v>
      </c>
      <c r="G27" s="4">
        <f t="shared" si="2"/>
        <v>-4.5813049930935552</v>
      </c>
      <c r="H27" s="4">
        <f t="shared" si="3"/>
        <v>7.4394663929932007E-5</v>
      </c>
      <c r="I27" s="5">
        <f t="shared" si="0"/>
        <v>2.4223065925375511E-6</v>
      </c>
      <c r="J27" s="4" cm="1">
        <f t="array" ref="J27">INDEX('3_TrainWindows'!Q:Q, A27+1)</f>
        <v>-1.0224227309084524</v>
      </c>
      <c r="K27" s="4">
        <f>SUMPRODUCT($B$16:$M$16,'3_TrainWindows'!$E10:$P10)</f>
        <v>-24.344513047570125</v>
      </c>
    </row>
    <row r="28" spans="1:11">
      <c r="A28" s="5">
        <f t="shared" si="1"/>
        <v>10</v>
      </c>
      <c r="B28" s="5" cm="1">
        <f t="array" ref="B28">INDEX('3_TrainWindows'!B:B, A28+1)</f>
        <v>21</v>
      </c>
      <c r="C28" s="5" t="str" cm="1">
        <f t="array" ref="C28">INDEX('3_TrainWindows'!C:C, A28+1)</f>
        <v>1949-10</v>
      </c>
      <c r="D28" s="5" t="str" cm="1">
        <f t="array" ref="D28">INDEX('3_TrainWindows'!D:D, A28+1)</f>
        <v>1950-09</v>
      </c>
      <c r="E28" s="4">
        <f>SUMPRODUCT($B$16:$M$16,'3_TrainWindows'!$E11:$P11)</f>
        <v>-24.224162214407773</v>
      </c>
      <c r="F28" s="4">
        <f>E28/($O$16 * '3_TrainWindows'!R11 + $B$9)</f>
        <v>-0.92705469148565178</v>
      </c>
      <c r="G28" s="4">
        <f t="shared" si="2"/>
        <v>-4.6352734574282586</v>
      </c>
      <c r="H28" s="4">
        <f t="shared" si="3"/>
        <v>7.0486115951140741E-5</v>
      </c>
      <c r="I28" s="5">
        <f t="shared" si="0"/>
        <v>2.2950434121407353E-6</v>
      </c>
      <c r="J28" s="4" cm="1">
        <f t="array" ref="J28">INDEX('3_TrainWindows'!Q:Q, A28+1)</f>
        <v>-1.4378298849771847</v>
      </c>
      <c r="K28" s="4">
        <f>SUMPRODUCT($B$16:$M$16,'3_TrainWindows'!$E11:$P11)</f>
        <v>-24.224162214407773</v>
      </c>
    </row>
    <row r="29" spans="1:11">
      <c r="A29" s="5">
        <f t="shared" si="1"/>
        <v>11</v>
      </c>
      <c r="B29" s="5" cm="1">
        <f t="array" ref="B29">INDEX('3_TrainWindows'!B:B, A29+1)</f>
        <v>22</v>
      </c>
      <c r="C29" s="5" t="str" cm="1">
        <f t="array" ref="C29">INDEX('3_TrainWindows'!C:C, A29+1)</f>
        <v>1949-11</v>
      </c>
      <c r="D29" s="5" t="str" cm="1">
        <f t="array" ref="D29">INDEX('3_TrainWindows'!D:D, A29+1)</f>
        <v>1950-10</v>
      </c>
      <c r="E29" s="4">
        <f>SUMPRODUCT($B$16:$M$16,'3_TrainWindows'!$E12:$P12)</f>
        <v>-24.179906310677548</v>
      </c>
      <c r="F29" s="4">
        <f>E29/($O$16 * '3_TrainWindows'!R12 + $B$9)</f>
        <v>-0.94094489301981132</v>
      </c>
      <c r="G29" s="4">
        <f t="shared" si="2"/>
        <v>-4.7047244650990567</v>
      </c>
      <c r="H29" s="4">
        <f t="shared" si="3"/>
        <v>6.5756909033159902E-5</v>
      </c>
      <c r="I29" s="5">
        <f t="shared" si="0"/>
        <v>2.141059396490251E-6</v>
      </c>
      <c r="J29" s="4" cm="1">
        <f t="array" ref="J29">INDEX('3_TrainWindows'!Q:Q, A29+1)</f>
        <v>-1.8095966058012116</v>
      </c>
      <c r="K29" s="4">
        <f>SUMPRODUCT($B$16:$M$16,'3_TrainWindows'!$E12:$P12)</f>
        <v>-24.179906310677548</v>
      </c>
    </row>
    <row r="30" spans="1:11">
      <c r="A30" s="5">
        <f t="shared" si="1"/>
        <v>12</v>
      </c>
      <c r="B30" s="5" cm="1">
        <f t="array" ref="B30">INDEX('3_TrainWindows'!B:B, A30+1)</f>
        <v>23</v>
      </c>
      <c r="C30" s="5" t="str" cm="1">
        <f t="array" ref="C30">INDEX('3_TrainWindows'!C:C, A30+1)</f>
        <v>1949-12</v>
      </c>
      <c r="D30" s="5" t="str" cm="1">
        <f t="array" ref="D30">INDEX('3_TrainWindows'!D:D, A30+1)</f>
        <v>1950-11</v>
      </c>
      <c r="E30" s="4">
        <f>SUMPRODUCT($B$16:$M$16,'3_TrainWindows'!$E13:$P13)</f>
        <v>-24.465021708216621</v>
      </c>
      <c r="F30" s="4">
        <f>E30/($O$16 * '3_TrainWindows'!R13 + $B$9)</f>
        <v>-0.96877395217129014</v>
      </c>
      <c r="G30" s="4">
        <f t="shared" si="2"/>
        <v>-4.8438697608564505</v>
      </c>
      <c r="H30" s="4">
        <f t="shared" si="3"/>
        <v>5.7215191576880682E-5</v>
      </c>
      <c r="I30" s="5">
        <f t="shared" si="0"/>
        <v>1.8629392005925244E-6</v>
      </c>
      <c r="J30" s="4" cm="1">
        <f t="array" ref="J30">INDEX('3_TrainWindows'!Q:Q, A30+1)</f>
        <v>-1.314125339034929</v>
      </c>
      <c r="K30" s="4">
        <f>SUMPRODUCT($B$16:$M$16,'3_TrainWindows'!$E13:$P13)</f>
        <v>-24.465021708216621</v>
      </c>
    </row>
    <row r="31" spans="1:11">
      <c r="A31" s="5">
        <f t="shared" si="1"/>
        <v>13</v>
      </c>
      <c r="B31" s="5" cm="1">
        <f t="array" ref="B31">INDEX('3_TrainWindows'!B:B, A31+1)</f>
        <v>24</v>
      </c>
      <c r="C31" s="5" t="str" cm="1">
        <f t="array" ref="C31">INDEX('3_TrainWindows'!C:C, A31+1)</f>
        <v>1950-01</v>
      </c>
      <c r="D31" s="5" t="str" cm="1">
        <f t="array" ref="D31">INDEX('3_TrainWindows'!D:D, A31+1)</f>
        <v>1950-12</v>
      </c>
      <c r="E31" s="4">
        <f>SUMPRODUCT($B$16:$M$16,'3_TrainWindows'!$E14:$P14)</f>
        <v>-23.901843379851204</v>
      </c>
      <c r="F31" s="4">
        <f>E31/($O$16 * '3_TrainWindows'!R14 + $B$9)</f>
        <v>-0.97222832503983092</v>
      </c>
      <c r="G31" s="4">
        <f t="shared" si="2"/>
        <v>-4.8611416251991546</v>
      </c>
      <c r="H31" s="4">
        <f t="shared" si="3"/>
        <v>5.6235463768216551E-5</v>
      </c>
      <c r="I31" s="5">
        <f t="shared" si="0"/>
        <v>1.8310390480217072E-6</v>
      </c>
      <c r="J31" s="4" cm="1">
        <f t="array" ref="J31">INDEX('3_TrainWindows'!Q:Q, A31+1)</f>
        <v>-1.2294952555981102</v>
      </c>
      <c r="K31" s="4">
        <f>SUMPRODUCT($B$16:$M$16,'3_TrainWindows'!$E14:$P14)</f>
        <v>-23.901843379851204</v>
      </c>
    </row>
    <row r="32" spans="1:11">
      <c r="A32" s="5">
        <f t="shared" si="1"/>
        <v>14</v>
      </c>
      <c r="B32" s="5" cm="1">
        <f t="array" ref="B32">INDEX('3_TrainWindows'!B:B, A32+1)</f>
        <v>25</v>
      </c>
      <c r="C32" s="5" t="str" cm="1">
        <f t="array" ref="C32">INDEX('3_TrainWindows'!C:C, A32+1)</f>
        <v>1950-02</v>
      </c>
      <c r="D32" s="5" t="str" cm="1">
        <f t="array" ref="D32">INDEX('3_TrainWindows'!D:D, A32+1)</f>
        <v>1951-01</v>
      </c>
      <c r="E32" s="4">
        <f>SUMPRODUCT($B$16:$M$16,'3_TrainWindows'!$E15:$P15)</f>
        <v>-22.878988828988437</v>
      </c>
      <c r="F32" s="4">
        <f>E32/($O$16 * '3_TrainWindows'!R15 + $B$9)</f>
        <v>-0.96721988308171525</v>
      </c>
      <c r="G32" s="4">
        <f t="shared" si="2"/>
        <v>-4.8360994154085759</v>
      </c>
      <c r="H32" s="4">
        <f t="shared" si="3"/>
        <v>5.7661505139946449E-5</v>
      </c>
      <c r="I32" s="5">
        <f t="shared" si="0"/>
        <v>1.8774712682038702E-6</v>
      </c>
      <c r="J32" s="4" cm="1">
        <f t="array" ref="J32">INDEX('3_TrainWindows'!Q:Q, A32+1)</f>
        <v>-1.147734547754085</v>
      </c>
      <c r="K32" s="4">
        <f>SUMPRODUCT($B$16:$M$16,'3_TrainWindows'!$E15:$P15)</f>
        <v>-22.878988828988437</v>
      </c>
    </row>
    <row r="33" spans="1:11">
      <c r="A33" s="5">
        <f t="shared" si="1"/>
        <v>15</v>
      </c>
      <c r="B33" s="5" cm="1">
        <f t="array" ref="B33">INDEX('3_TrainWindows'!B:B, A33+1)</f>
        <v>26</v>
      </c>
      <c r="C33" s="5" t="str" cm="1">
        <f t="array" ref="C33">INDEX('3_TrainWindows'!C:C, A33+1)</f>
        <v>1950-03</v>
      </c>
      <c r="D33" s="5" t="str" cm="1">
        <f t="array" ref="D33">INDEX('3_TrainWindows'!D:D, A33+1)</f>
        <v>1951-02</v>
      </c>
      <c r="E33" s="4">
        <f>SUMPRODUCT($B$16:$M$16,'3_TrainWindows'!$E16:$P16)</f>
        <v>-21.986241257553452</v>
      </c>
      <c r="F33" s="4">
        <f>E33/($O$16 * '3_TrainWindows'!R16 + $B$9)</f>
        <v>-0.9557824163632368</v>
      </c>
      <c r="G33" s="4">
        <f t="shared" si="2"/>
        <v>-4.7789120818161841</v>
      </c>
      <c r="H33" s="4">
        <f t="shared" si="3"/>
        <v>6.1055124057014286E-5</v>
      </c>
      <c r="I33" s="5">
        <f t="shared" si="0"/>
        <v>1.9879682452870097E-6</v>
      </c>
      <c r="J33" s="4" cm="1">
        <f t="array" ref="J33">INDEX('3_TrainWindows'!Q:Q, A33+1)</f>
        <v>-0.73497460370469814</v>
      </c>
      <c r="K33" s="4">
        <f>SUMPRODUCT($B$16:$M$16,'3_TrainWindows'!$E16:$P16)</f>
        <v>-21.986241257553452</v>
      </c>
    </row>
    <row r="34" spans="1:11">
      <c r="A34" s="5">
        <f t="shared" si="1"/>
        <v>16</v>
      </c>
      <c r="B34" s="5" cm="1">
        <f t="array" ref="B34">INDEX('3_TrainWindows'!B:B, A34+1)</f>
        <v>27</v>
      </c>
      <c r="C34" s="5" t="str" cm="1">
        <f t="array" ref="C34">INDEX('3_TrainWindows'!C:C, A34+1)</f>
        <v>1950-04</v>
      </c>
      <c r="D34" s="5" t="str" cm="1">
        <f t="array" ref="D34">INDEX('3_TrainWindows'!D:D, A34+1)</f>
        <v>1951-03</v>
      </c>
      <c r="E34" s="4">
        <f>SUMPRODUCT($B$16:$M$16,'3_TrainWindows'!$E17:$P17)</f>
        <v>-20.613343492635597</v>
      </c>
      <c r="F34" s="4">
        <f>E34/($O$16 * '3_TrainWindows'!R17 + $B$9)</f>
        <v>-0.92297819486169341</v>
      </c>
      <c r="G34" s="4">
        <f t="shared" si="2"/>
        <v>-4.6148909743084667</v>
      </c>
      <c r="H34" s="4">
        <f t="shared" si="3"/>
        <v>7.1937539579883242E-5</v>
      </c>
      <c r="I34" s="5">
        <f t="shared" si="0"/>
        <v>2.3423020841844596E-6</v>
      </c>
      <c r="J34" s="4" cm="1">
        <f t="array" ref="J34">INDEX('3_TrainWindows'!Q:Q, A34+1)</f>
        <v>-0.94728550429877234</v>
      </c>
      <c r="K34" s="4">
        <f>SUMPRODUCT($B$16:$M$16,'3_TrainWindows'!$E17:$P17)</f>
        <v>-20.613343492635597</v>
      </c>
    </row>
    <row r="35" spans="1:11">
      <c r="A35" s="5">
        <f t="shared" si="1"/>
        <v>17</v>
      </c>
      <c r="B35" s="5" cm="1">
        <f t="array" ref="B35">INDEX('3_TrainWindows'!B:B, A35+1)</f>
        <v>28</v>
      </c>
      <c r="C35" s="5" t="str" cm="1">
        <f t="array" ref="C35">INDEX('3_TrainWindows'!C:C, A35+1)</f>
        <v>1950-05</v>
      </c>
      <c r="D35" s="5" t="str" cm="1">
        <f t="array" ref="D35">INDEX('3_TrainWindows'!D:D, A35+1)</f>
        <v>1951-04</v>
      </c>
      <c r="E35" s="4">
        <f>SUMPRODUCT($B$16:$M$16,'3_TrainWindows'!$E18:$P18)</f>
        <v>-19.39193019754476</v>
      </c>
      <c r="F35" s="4">
        <f>E35/($O$16 * '3_TrainWindows'!R18 + $B$9)</f>
        <v>-0.89411523054245079</v>
      </c>
      <c r="G35" s="4">
        <f t="shared" si="2"/>
        <v>-4.4705761527122538</v>
      </c>
      <c r="H35" s="4">
        <f t="shared" si="3"/>
        <v>8.3105680612234267E-5</v>
      </c>
      <c r="I35" s="5">
        <f t="shared" si="0"/>
        <v>2.7059392084079435E-6</v>
      </c>
      <c r="J35" s="4" cm="1">
        <f t="array" ref="J35">INDEX('3_TrainWindows'!Q:Q, A35+1)</f>
        <v>-0.81766990171785114</v>
      </c>
      <c r="K35" s="4">
        <f>SUMPRODUCT($B$16:$M$16,'3_TrainWindows'!$E18:$P18)</f>
        <v>-19.39193019754476</v>
      </c>
    </row>
    <row r="36" spans="1:11">
      <c r="A36" s="5">
        <f t="shared" si="1"/>
        <v>18</v>
      </c>
      <c r="B36" s="5" cm="1">
        <f t="array" ref="B36">INDEX('3_TrainWindows'!B:B, A36+1)</f>
        <v>29</v>
      </c>
      <c r="C36" s="5" t="str" cm="1">
        <f t="array" ref="C36">INDEX('3_TrainWindows'!C:C, A36+1)</f>
        <v>1950-06</v>
      </c>
      <c r="D36" s="5" t="str" cm="1">
        <f t="array" ref="D36">INDEX('3_TrainWindows'!D:D, A36+1)</f>
        <v>1951-05</v>
      </c>
      <c r="E36" s="4">
        <f>SUMPRODUCT($B$16:$M$16,'3_TrainWindows'!$E19:$P19)</f>
        <v>-18.040770393636581</v>
      </c>
      <c r="F36" s="4">
        <f>E36/($O$16 * '3_TrainWindows'!R19 + $B$9)</f>
        <v>-0.87909967996148763</v>
      </c>
      <c r="G36" s="4">
        <f t="shared" si="2"/>
        <v>-4.3954983998074377</v>
      </c>
      <c r="H36" s="4">
        <f t="shared" si="3"/>
        <v>8.9585261223909071E-5</v>
      </c>
      <c r="I36" s="5">
        <f t="shared" si="0"/>
        <v>2.9169157758580106E-6</v>
      </c>
      <c r="J36" s="4" cm="1">
        <f t="array" ref="J36">INDEX('3_TrainWindows'!Q:Q, A36+1)</f>
        <v>-0.73497460370469814</v>
      </c>
      <c r="K36" s="4">
        <f>SUMPRODUCT($B$16:$M$16,'3_TrainWindows'!$E19:$P19)</f>
        <v>-18.040770393636581</v>
      </c>
    </row>
    <row r="37" spans="1:11">
      <c r="A37" s="5">
        <f t="shared" si="1"/>
        <v>19</v>
      </c>
      <c r="B37" s="5" cm="1">
        <f t="array" ref="B37">INDEX('3_TrainWindows'!B:B, A37+1)</f>
        <v>30</v>
      </c>
      <c r="C37" s="5" t="str" cm="1">
        <f t="array" ref="C37">INDEX('3_TrainWindows'!C:C, A37+1)</f>
        <v>1950-07</v>
      </c>
      <c r="D37" s="5" t="str" cm="1">
        <f t="array" ref="D37">INDEX('3_TrainWindows'!D:D, A37+1)</f>
        <v>1951-06</v>
      </c>
      <c r="E37" s="4">
        <f>SUMPRODUCT($B$16:$M$16,'3_TrainWindows'!$E20:$P20)</f>
        <v>-17.241573689557217</v>
      </c>
      <c r="F37" s="4">
        <f>E37/($O$16 * '3_TrainWindows'!R20 + $B$9)</f>
        <v>-0.86263155763379917</v>
      </c>
      <c r="G37" s="4">
        <f t="shared" si="2"/>
        <v>-4.3131577881689953</v>
      </c>
      <c r="H37" s="4">
        <f t="shared" si="3"/>
        <v>9.727396927460043E-5</v>
      </c>
      <c r="I37" s="5">
        <f t="shared" si="0"/>
        <v>3.1672617982128863E-6</v>
      </c>
      <c r="J37" s="4" cm="1">
        <f t="array" ref="J37">INDEX('3_TrainWindows'!Q:Q, A37+1)</f>
        <v>-0.46601764195589124</v>
      </c>
      <c r="K37" s="4">
        <f>SUMPRODUCT($B$16:$M$16,'3_TrainWindows'!$E20:$P20)</f>
        <v>-17.241573689557217</v>
      </c>
    </row>
    <row r="38" spans="1:11">
      <c r="A38" s="5">
        <f t="shared" si="1"/>
        <v>20</v>
      </c>
      <c r="B38" s="5" cm="1">
        <f t="array" ref="B38">INDEX('3_TrainWindows'!B:B, A38+1)</f>
        <v>31</v>
      </c>
      <c r="C38" s="5" t="str" cm="1">
        <f t="array" ref="C38">INDEX('3_TrainWindows'!C:C, A38+1)</f>
        <v>1950-08</v>
      </c>
      <c r="D38" s="5" t="str" cm="1">
        <f t="array" ref="D38">INDEX('3_TrainWindows'!D:D, A38+1)</f>
        <v>1951-07</v>
      </c>
      <c r="E38" s="4">
        <f>SUMPRODUCT($B$16:$M$16,'3_TrainWindows'!$E21:$P21)</f>
        <v>-17.046405271750935</v>
      </c>
      <c r="F38" s="4">
        <f>E38/($O$16 * '3_TrainWindows'!R21 + $B$9)</f>
        <v>-0.86737670031406156</v>
      </c>
      <c r="G38" s="4">
        <f t="shared" si="2"/>
        <v>-4.3368835015703073</v>
      </c>
      <c r="H38" s="4">
        <f t="shared" si="3"/>
        <v>9.4993237933360423E-5</v>
      </c>
      <c r="I38" s="5">
        <f t="shared" si="0"/>
        <v>3.0930006849575591E-6</v>
      </c>
      <c r="J38" s="4" cm="1">
        <f t="array" ref="J38">INDEX('3_TrainWindows'!Q:Q, A38+1)</f>
        <v>-0.46601764195589124</v>
      </c>
      <c r="K38" s="4">
        <f>SUMPRODUCT($B$16:$M$16,'3_TrainWindows'!$E21:$P21)</f>
        <v>-17.046405271750935</v>
      </c>
    </row>
    <row r="39" spans="1:11">
      <c r="A39" s="5">
        <f t="shared" si="1"/>
        <v>21</v>
      </c>
      <c r="B39" s="5" cm="1">
        <f t="array" ref="B39">INDEX('3_TrainWindows'!B:B, A39+1)</f>
        <v>32</v>
      </c>
      <c r="C39" s="5" t="str" cm="1">
        <f t="array" ref="C39">INDEX('3_TrainWindows'!C:C, A39+1)</f>
        <v>1950-09</v>
      </c>
      <c r="D39" s="5" t="str" cm="1">
        <f t="array" ref="D39">INDEX('3_TrainWindows'!D:D, A39+1)</f>
        <v>1951-08</v>
      </c>
      <c r="E39" s="4">
        <f>SUMPRODUCT($B$16:$M$16,'3_TrainWindows'!$E22:$P22)</f>
        <v>-17.351167029562387</v>
      </c>
      <c r="F39" s="4">
        <f>E39/($O$16 * '3_TrainWindows'!R22 + $B$9)</f>
        <v>-0.89843360594113819</v>
      </c>
      <c r="G39" s="4">
        <f t="shared" si="2"/>
        <v>-4.4921680297056907</v>
      </c>
      <c r="H39" s="4">
        <f t="shared" si="3"/>
        <v>8.1330506614626005E-5</v>
      </c>
      <c r="I39" s="5">
        <f t="shared" si="0"/>
        <v>2.6481391532674614E-6</v>
      </c>
      <c r="J39" s="4" cm="1">
        <f t="array" ref="J39">INDEX('3_TrainWindows'!Q:Q, A39+1)</f>
        <v>-0.65502109707019052</v>
      </c>
      <c r="K39" s="4">
        <f>SUMPRODUCT($B$16:$M$16,'3_TrainWindows'!$E22:$P22)</f>
        <v>-17.351167029562387</v>
      </c>
    </row>
    <row r="40" spans="1:11">
      <c r="A40" s="5">
        <f t="shared" si="1"/>
        <v>22</v>
      </c>
      <c r="B40" s="5" cm="1">
        <f t="array" ref="B40">INDEX('3_TrainWindows'!B:B, A40+1)</f>
        <v>33</v>
      </c>
      <c r="C40" s="5" t="str" cm="1">
        <f t="array" ref="C40">INDEX('3_TrainWindows'!C:C, A40+1)</f>
        <v>1950-10</v>
      </c>
      <c r="D40" s="5" t="str" cm="1">
        <f t="array" ref="D40">INDEX('3_TrainWindows'!D:D, A40+1)</f>
        <v>1951-09</v>
      </c>
      <c r="E40" s="4">
        <f>SUMPRODUCT($B$16:$M$16,'3_TrainWindows'!$E23:$P23)</f>
        <v>-17.216077262731709</v>
      </c>
      <c r="F40" s="4">
        <f>E40/($O$16 * '3_TrainWindows'!R23 + $B$9)</f>
        <v>-0.91169658336667991</v>
      </c>
      <c r="G40" s="4">
        <f t="shared" si="2"/>
        <v>-4.5584829168333991</v>
      </c>
      <c r="H40" s="4">
        <f t="shared" si="3"/>
        <v>7.6112026979067329E-5</v>
      </c>
      <c r="I40" s="5">
        <f t="shared" si="0"/>
        <v>2.4782243105020937E-6</v>
      </c>
      <c r="J40" s="4" cm="1">
        <f t="array" ref="J40">INDEX('3_TrainWindows'!Q:Q, A40+1)</f>
        <v>-0.96212684283547134</v>
      </c>
      <c r="K40" s="4">
        <f>SUMPRODUCT($B$16:$M$16,'3_TrainWindows'!$E23:$P23)</f>
        <v>-17.216077262731709</v>
      </c>
    </row>
    <row r="41" spans="1:11">
      <c r="A41" s="5">
        <f t="shared" si="1"/>
        <v>23</v>
      </c>
      <c r="B41" s="5" cm="1">
        <f t="array" ref="B41">INDEX('3_TrainWindows'!B:B, A41+1)</f>
        <v>34</v>
      </c>
      <c r="C41" s="5" t="str" cm="1">
        <f t="array" ref="C41">INDEX('3_TrainWindows'!C:C, A41+1)</f>
        <v>1950-11</v>
      </c>
      <c r="D41" s="5" t="str" cm="1">
        <f t="array" ref="D41">INDEX('3_TrainWindows'!D:D, A41+1)</f>
        <v>1951-10</v>
      </c>
      <c r="E41" s="4">
        <f>SUMPRODUCT($B$16:$M$16,'3_TrainWindows'!$E24:$P24)</f>
        <v>-16.960938357470315</v>
      </c>
      <c r="F41" s="4">
        <f>E41/($O$16 * '3_TrainWindows'!R24 + $B$9)</f>
        <v>-0.93905548220316803</v>
      </c>
      <c r="G41" s="4">
        <f t="shared" si="2"/>
        <v>-4.69527741101584</v>
      </c>
      <c r="H41" s="4">
        <f t="shared" si="3"/>
        <v>6.6381061669031413E-5</v>
      </c>
      <c r="I41" s="5">
        <f t="shared" si="0"/>
        <v>2.1613819433606184E-6</v>
      </c>
      <c r="J41" s="4" cm="1">
        <f t="array" ref="J41">INDEX('3_TrainWindows'!Q:Q, A41+1)</f>
        <v>-1.212919864569709</v>
      </c>
      <c r="K41" s="4">
        <f>SUMPRODUCT($B$16:$M$16,'3_TrainWindows'!$E24:$P24)</f>
        <v>-16.960938357470315</v>
      </c>
    </row>
    <row r="42" spans="1:11">
      <c r="A42" s="5">
        <f t="shared" si="1"/>
        <v>24</v>
      </c>
      <c r="B42" s="5" cm="1">
        <f t="array" ref="B42">INDEX('3_TrainWindows'!B:B, A42+1)</f>
        <v>35</v>
      </c>
      <c r="C42" s="5" t="str" cm="1">
        <f t="array" ref="C42">INDEX('3_TrainWindows'!C:C, A42+1)</f>
        <v>1950-12</v>
      </c>
      <c r="D42" s="5" t="str" cm="1">
        <f t="array" ref="D42">INDEX('3_TrainWindows'!D:D, A42+1)</f>
        <v>1951-11</v>
      </c>
      <c r="E42" s="4">
        <f>SUMPRODUCT($B$16:$M$16,'3_TrainWindows'!$E25:$P25)</f>
        <v>-16.133094834872288</v>
      </c>
      <c r="F42" s="4">
        <f>E42/($O$16 * '3_TrainWindows'!R25 + $B$9)</f>
        <v>-0.96714669061229919</v>
      </c>
      <c r="G42" s="4">
        <f t="shared" si="2"/>
        <v>-4.8357334530614953</v>
      </c>
      <c r="H42" s="4">
        <f t="shared" si="3"/>
        <v>5.7682610941432434E-5</v>
      </c>
      <c r="I42" s="5">
        <f t="shared" si="0"/>
        <v>1.8781584777344952E-6</v>
      </c>
      <c r="J42" s="4" cm="1">
        <f t="array" ref="J42">INDEX('3_TrainWindows'!Q:Q, A42+1)</f>
        <v>-0.90330173383002621</v>
      </c>
      <c r="K42" s="4">
        <f>SUMPRODUCT($B$16:$M$16,'3_TrainWindows'!$E25:$P25)</f>
        <v>-16.133094834872288</v>
      </c>
    </row>
    <row r="43" spans="1:11">
      <c r="A43" s="5">
        <f t="shared" si="1"/>
        <v>25</v>
      </c>
      <c r="B43" s="5" cm="1">
        <f t="array" ref="B43">INDEX('3_TrainWindows'!B:B, A43+1)</f>
        <v>36</v>
      </c>
      <c r="C43" s="5" t="str" cm="1">
        <f t="array" ref="C43">INDEX('3_TrainWindows'!C:C, A43+1)</f>
        <v>1951-01</v>
      </c>
      <c r="D43" s="5" t="str" cm="1">
        <f t="array" ref="D43">INDEX('3_TrainWindows'!D:D, A43+1)</f>
        <v>1951-12</v>
      </c>
      <c r="E43" s="4">
        <f>SUMPRODUCT($B$16:$M$16,'3_TrainWindows'!$E26:$P26)</f>
        <v>-15.619820630899859</v>
      </c>
      <c r="F43" s="4">
        <f>E43/($O$16 * '3_TrainWindows'!R26 + $B$9)</f>
        <v>-0.98001359957544265</v>
      </c>
      <c r="G43" s="4">
        <f t="shared" si="2"/>
        <v>-4.9000679978772128</v>
      </c>
      <c r="H43" s="4">
        <f t="shared" si="3"/>
        <v>5.4088479401540609E-5</v>
      </c>
      <c r="I43" s="5">
        <f t="shared" si="0"/>
        <v>1.7611327656252657E-6</v>
      </c>
      <c r="J43" s="4" cm="1">
        <f t="array" ref="J43">INDEX('3_TrainWindows'!Q:Q, A43+1)</f>
        <v>-0.83173238996479693</v>
      </c>
      <c r="K43" s="4">
        <f>SUMPRODUCT($B$16:$M$16,'3_TrainWindows'!$E26:$P26)</f>
        <v>-15.619820630899859</v>
      </c>
    </row>
    <row r="44" spans="1:11">
      <c r="A44" s="5">
        <f t="shared" si="1"/>
        <v>26</v>
      </c>
      <c r="B44" s="5" cm="1">
        <f t="array" ref="B44">INDEX('3_TrainWindows'!B:B, A44+1)</f>
        <v>37</v>
      </c>
      <c r="C44" s="5" t="str" cm="1">
        <f t="array" ref="C44">INDEX('3_TrainWindows'!C:C, A44+1)</f>
        <v>1951-02</v>
      </c>
      <c r="D44" s="5" t="str" cm="1">
        <f t="array" ref="D44">INDEX('3_TrainWindows'!D:D, A44+1)</f>
        <v>1952-01</v>
      </c>
      <c r="E44" s="4">
        <f>SUMPRODUCT($B$16:$M$16,'3_TrainWindows'!$E27:$P27)</f>
        <v>-14.757586544978608</v>
      </c>
      <c r="F44" s="4">
        <f>E44/($O$16 * '3_TrainWindows'!R27 + $B$9)</f>
        <v>-0.96841123538605201</v>
      </c>
      <c r="G44" s="4">
        <f t="shared" si="2"/>
        <v>-4.8420561769302601</v>
      </c>
      <c r="H44" s="4">
        <f t="shared" si="3"/>
        <v>5.7319050278427537E-5</v>
      </c>
      <c r="I44" s="5">
        <f t="shared" si="0"/>
        <v>1.8663208627193441E-6</v>
      </c>
      <c r="J44" s="4" cm="1">
        <f t="array" ref="J44">INDEX('3_TrainWindows'!Q:Q, A44+1)</f>
        <v>-0.70802784402254137</v>
      </c>
      <c r="K44" s="4">
        <f>SUMPRODUCT($B$16:$M$16,'3_TrainWindows'!$E27:$P27)</f>
        <v>-14.757586544978608</v>
      </c>
    </row>
    <row r="45" spans="1:11">
      <c r="A45" s="5">
        <f t="shared" si="1"/>
        <v>27</v>
      </c>
      <c r="B45" s="5" cm="1">
        <f t="array" ref="B45">INDEX('3_TrainWindows'!B:B, A45+1)</f>
        <v>38</v>
      </c>
      <c r="C45" s="5" t="str" cm="1">
        <f t="array" ref="C45">INDEX('3_TrainWindows'!C:C, A45+1)</f>
        <v>1951-03</v>
      </c>
      <c r="D45" s="5" t="str" cm="1">
        <f t="array" ref="D45">INDEX('3_TrainWindows'!D:D, A45+1)</f>
        <v>1952-02</v>
      </c>
      <c r="E45" s="4">
        <f>SUMPRODUCT($B$16:$M$16,'3_TrainWindows'!$E28:$P28)</f>
        <v>-13.733809566089112</v>
      </c>
      <c r="F45" s="4">
        <f>E45/($O$16 * '3_TrainWindows'!R28 + $B$9)</f>
        <v>-0.94654281314566457</v>
      </c>
      <c r="G45" s="4">
        <f t="shared" si="2"/>
        <v>-4.7327140657283229</v>
      </c>
      <c r="H45" s="4">
        <f t="shared" si="3"/>
        <v>6.3941918332909096E-5</v>
      </c>
      <c r="I45" s="5">
        <f t="shared" si="0"/>
        <v>2.0819629007690977E-6</v>
      </c>
      <c r="J45" s="4" cm="1">
        <f t="array" ref="J45">INDEX('3_TrainWindows'!Q:Q, A45+1)</f>
        <v>-0.53985126228524116</v>
      </c>
      <c r="K45" s="4">
        <f>SUMPRODUCT($B$16:$M$16,'3_TrainWindows'!$E28:$P28)</f>
        <v>-13.733809566089112</v>
      </c>
    </row>
    <row r="46" spans="1:11">
      <c r="A46" s="5">
        <f t="shared" si="1"/>
        <v>28</v>
      </c>
      <c r="B46" s="5" cm="1">
        <f t="array" ref="B46">INDEX('3_TrainWindows'!B:B, A46+1)</f>
        <v>39</v>
      </c>
      <c r="C46" s="5" t="str" cm="1">
        <f t="array" ref="C46">INDEX('3_TrainWindows'!C:C, A46+1)</f>
        <v>1951-04</v>
      </c>
      <c r="D46" s="5" t="str" cm="1">
        <f t="array" ref="D46">INDEX('3_TrainWindows'!D:D, A46+1)</f>
        <v>1952-03</v>
      </c>
      <c r="E46" s="4">
        <f>SUMPRODUCT($B$16:$M$16,'3_TrainWindows'!$E29:$P29)</f>
        <v>-13.03113389243811</v>
      </c>
      <c r="F46" s="4">
        <f>E46/($O$16 * '3_TrainWindows'!R29 + $B$9)</f>
        <v>-0.91256714912552317</v>
      </c>
      <c r="G46" s="4">
        <f t="shared" si="2"/>
        <v>-4.5628357456276154</v>
      </c>
      <c r="H46" s="4">
        <f t="shared" si="3"/>
        <v>7.5781444363176706E-5</v>
      </c>
      <c r="I46" s="5">
        <f t="shared" si="0"/>
        <v>2.4674604679420365E-6</v>
      </c>
      <c r="J46" s="4" cm="1">
        <f t="array" ref="J46">INDEX('3_TrainWindows'!Q:Q, A46+1)</f>
        <v>-0.69466653615595064</v>
      </c>
      <c r="K46" s="4">
        <f>SUMPRODUCT($B$16:$M$16,'3_TrainWindows'!$E29:$P29)</f>
        <v>-13.03113389243811</v>
      </c>
    </row>
    <row r="47" spans="1:11">
      <c r="A47" s="5">
        <f t="shared" si="1"/>
        <v>29</v>
      </c>
      <c r="B47" s="5" cm="1">
        <f t="array" ref="B47">INDEX('3_TrainWindows'!B:B, A47+1)</f>
        <v>40</v>
      </c>
      <c r="C47" s="5" t="str" cm="1">
        <f t="array" ref="C47">INDEX('3_TrainWindows'!C:C, A47+1)</f>
        <v>1951-05</v>
      </c>
      <c r="D47" s="5" t="str" cm="1">
        <f t="array" ref="D47">INDEX('3_TrainWindows'!D:D, A47+1)</f>
        <v>1952-04</v>
      </c>
      <c r="E47" s="4">
        <f>SUMPRODUCT($B$16:$M$16,'3_TrainWindows'!$E30:$P30)</f>
        <v>-12.233852798801978</v>
      </c>
      <c r="F47" s="4">
        <f>E47/($O$16 * '3_TrainWindows'!R30 + $B$9)</f>
        <v>-0.88089388981565475</v>
      </c>
      <c r="G47" s="4">
        <f t="shared" si="2"/>
        <v>-4.4044694490782739</v>
      </c>
      <c r="H47" s="4">
        <f t="shared" si="3"/>
        <v>8.8785181574348965E-5</v>
      </c>
      <c r="I47" s="5">
        <f t="shared" si="0"/>
        <v>2.8908650067933112E-6</v>
      </c>
      <c r="J47" s="4" cm="1">
        <f t="array" ref="J47">INDEX('3_TrainWindows'!Q:Q, A47+1)</f>
        <v>-0.66816396284603252</v>
      </c>
      <c r="K47" s="4">
        <f>SUMPRODUCT($B$16:$M$16,'3_TrainWindows'!$E30:$P30)</f>
        <v>-12.233852798801978</v>
      </c>
    </row>
    <row r="48" spans="1:11">
      <c r="A48" s="5">
        <f t="shared" si="1"/>
        <v>30</v>
      </c>
      <c r="B48" s="5" cm="1">
        <f t="array" ref="B48">INDEX('3_TrainWindows'!B:B, A48+1)</f>
        <v>41</v>
      </c>
      <c r="C48" s="5" t="str" cm="1">
        <f t="array" ref="C48">INDEX('3_TrainWindows'!C:C, A48+1)</f>
        <v>1951-06</v>
      </c>
      <c r="D48" s="5" t="str" cm="1">
        <f t="array" ref="D48">INDEX('3_TrainWindows'!D:D, A48+1)</f>
        <v>1952-05</v>
      </c>
      <c r="E48" s="4">
        <f>SUMPRODUCT($B$16:$M$16,'3_TrainWindows'!$E31:$P31)</f>
        <v>-11.937786228573552</v>
      </c>
      <c r="F48" s="4">
        <f>E48/($O$16 * '3_TrainWindows'!R31 + $B$9)</f>
        <v>-0.87305111003058478</v>
      </c>
      <c r="G48" s="4">
        <f t="shared" si="2"/>
        <v>-4.3652555501529235</v>
      </c>
      <c r="H48" s="4">
        <f t="shared" si="3"/>
        <v>9.2335959636903974E-5</v>
      </c>
      <c r="I48" s="5">
        <f t="shared" si="0"/>
        <v>3.006479120161248E-6</v>
      </c>
      <c r="J48" s="4" cm="1">
        <f t="array" ref="J48">INDEX('3_TrainWindows'!Q:Q, A48+1)</f>
        <v>-0.24609324191803478</v>
      </c>
      <c r="K48" s="4">
        <f>SUMPRODUCT($B$16:$M$16,'3_TrainWindows'!$E31:$P31)</f>
        <v>-11.937786228573552</v>
      </c>
    </row>
    <row r="49" spans="1:11">
      <c r="A49" s="5">
        <f t="shared" si="1"/>
        <v>31</v>
      </c>
      <c r="B49" s="5" cm="1">
        <f t="array" ref="B49">INDEX('3_TrainWindows'!B:B, A49+1)</f>
        <v>42</v>
      </c>
      <c r="C49" s="5" t="str" cm="1">
        <f t="array" ref="C49">INDEX('3_TrainWindows'!C:C, A49+1)</f>
        <v>1951-07</v>
      </c>
      <c r="D49" s="5" t="str" cm="1">
        <f t="array" ref="D49">INDEX('3_TrainWindows'!D:D, A49+1)</f>
        <v>1952-06</v>
      </c>
      <c r="E49" s="4">
        <f>SUMPRODUCT($B$16:$M$16,'3_TrainWindows'!$E32:$P32)</f>
        <v>-10.939969867529888</v>
      </c>
      <c r="F49" s="4">
        <f>E49/($O$16 * '3_TrainWindows'!R32 + $B$9)</f>
        <v>-0.82885157139645771</v>
      </c>
      <c r="G49" s="4">
        <f t="shared" si="2"/>
        <v>-4.1442578569822883</v>
      </c>
      <c r="H49" s="4">
        <f t="shared" si="3"/>
        <v>1.1517254025502368E-4</v>
      </c>
      <c r="I49" s="5">
        <f t="shared" si="0"/>
        <v>3.7500431993590071E-6</v>
      </c>
      <c r="J49" s="4" cm="1">
        <f t="array" ref="J49">INDEX('3_TrainWindows'!Q:Q, A49+1)</f>
        <v>-0.11686358496531957</v>
      </c>
      <c r="K49" s="4">
        <f>SUMPRODUCT($B$16:$M$16,'3_TrainWindows'!$E32:$P32)</f>
        <v>-10.939969867529888</v>
      </c>
    </row>
    <row r="50" spans="1:11">
      <c r="A50" s="5">
        <f t="shared" si="1"/>
        <v>32</v>
      </c>
      <c r="B50" s="5" cm="1">
        <f t="array" ref="B50">INDEX('3_TrainWindows'!B:B, A50+1)</f>
        <v>43</v>
      </c>
      <c r="C50" s="5" t="str" cm="1">
        <f t="array" ref="C50">INDEX('3_TrainWindows'!C:C, A50+1)</f>
        <v>1951-08</v>
      </c>
      <c r="D50" s="5" t="str" cm="1">
        <f t="array" ref="D50">INDEX('3_TrainWindows'!D:D, A50+1)</f>
        <v>1952-07</v>
      </c>
      <c r="E50" s="4">
        <f>SUMPRODUCT($B$16:$M$16,'3_TrainWindows'!$E33:$P33)</f>
        <v>-10.716282119613714</v>
      </c>
      <c r="F50" s="4">
        <f>E50/($O$16 * '3_TrainWindows'!R33 + $B$9)</f>
        <v>-0.82481868130298308</v>
      </c>
      <c r="G50" s="4">
        <f t="shared" si="2"/>
        <v>-4.1240934065149153</v>
      </c>
      <c r="H50" s="4">
        <f t="shared" si="3"/>
        <v>1.1751850428641998E-4</v>
      </c>
      <c r="I50" s="5">
        <f t="shared" si="0"/>
        <v>3.8264283033290903E-6</v>
      </c>
      <c r="J50" s="4" cm="1">
        <f t="array" ref="J50">INDEX('3_TrainWindows'!Q:Q, A50+1)</f>
        <v>5.7921634386639814E-3</v>
      </c>
      <c r="K50" s="4">
        <f>SUMPRODUCT($B$16:$M$16,'3_TrainWindows'!$E33:$P33)</f>
        <v>-10.716282119613714</v>
      </c>
    </row>
    <row r="51" spans="1:11">
      <c r="A51" s="5">
        <f t="shared" si="1"/>
        <v>33</v>
      </c>
      <c r="B51" s="5" cm="1">
        <f t="array" ref="B51">INDEX('3_TrainWindows'!B:B, A51+1)</f>
        <v>44</v>
      </c>
      <c r="C51" s="5" t="str" cm="1">
        <f t="array" ref="C51">INDEX('3_TrainWindows'!C:C, A51+1)</f>
        <v>1951-09</v>
      </c>
      <c r="D51" s="5" t="str" cm="1">
        <f t="array" ref="D51">INDEX('3_TrainWindows'!D:D, A51+1)</f>
        <v>1952-08</v>
      </c>
      <c r="E51" s="4">
        <f>SUMPRODUCT($B$16:$M$16,'3_TrainWindows'!$E34:$P34)</f>
        <v>-10.463672443913207</v>
      </c>
      <c r="F51" s="4">
        <f>E51/($O$16 * '3_TrainWindows'!R34 + $B$9)</f>
        <v>-0.81951645073212587</v>
      </c>
      <c r="G51" s="4">
        <f t="shared" si="2"/>
        <v>-4.0975822536606294</v>
      </c>
      <c r="H51" s="4">
        <f t="shared" si="3"/>
        <v>1.2067572112957908E-4</v>
      </c>
      <c r="I51" s="5">
        <f t="shared" ref="I51:I82" si="4">H51/$H$140</f>
        <v>3.9292279769785046E-6</v>
      </c>
      <c r="J51" s="4" cm="1">
        <f t="array" ref="J51">INDEX('3_TrainWindows'!Q:Q, A51+1)</f>
        <v>-0.34777288682773144</v>
      </c>
      <c r="K51" s="4">
        <f>SUMPRODUCT($B$16:$M$16,'3_TrainWindows'!$E34:$P34)</f>
        <v>-10.463672443913207</v>
      </c>
    </row>
    <row r="52" spans="1:11">
      <c r="A52" s="5">
        <f t="shared" si="1"/>
        <v>34</v>
      </c>
      <c r="B52" s="5" cm="1">
        <f t="array" ref="B52">INDEX('3_TrainWindows'!B:B, A52+1)</f>
        <v>45</v>
      </c>
      <c r="C52" s="5" t="str" cm="1">
        <f t="array" ref="C52">INDEX('3_TrainWindows'!C:C, A52+1)</f>
        <v>1951-10</v>
      </c>
      <c r="D52" s="5" t="str" cm="1">
        <f t="array" ref="D52">INDEX('3_TrainWindows'!D:D, A52+1)</f>
        <v>1952-09</v>
      </c>
      <c r="E52" s="4">
        <f>SUMPRODUCT($B$16:$M$16,'3_TrainWindows'!$E35:$P35)</f>
        <v>-10.422305619306794</v>
      </c>
      <c r="F52" s="4">
        <f>E52/($O$16 * '3_TrainWindows'!R35 + $B$9)</f>
        <v>-0.83759893723969636</v>
      </c>
      <c r="G52" s="4">
        <f t="shared" si="2"/>
        <v>-4.1879946861984818</v>
      </c>
      <c r="H52" s="4">
        <f t="shared" si="3"/>
        <v>1.102438273263699E-4</v>
      </c>
      <c r="I52" s="5">
        <f t="shared" si="4"/>
        <v>3.5895632241950945E-6</v>
      </c>
      <c r="J52" s="4" cm="1">
        <f t="array" ref="J52">INDEX('3_TrainWindows'!Q:Q, A52+1)</f>
        <v>-0.56497346758606415</v>
      </c>
      <c r="K52" s="4">
        <f>SUMPRODUCT($B$16:$M$16,'3_TrainWindows'!$E35:$P35)</f>
        <v>-10.422305619306794</v>
      </c>
    </row>
    <row r="53" spans="1:11">
      <c r="A53" s="5">
        <f t="shared" si="1"/>
        <v>35</v>
      </c>
      <c r="B53" s="5" cm="1">
        <f t="array" ref="B53">INDEX('3_TrainWindows'!B:B, A53+1)</f>
        <v>46</v>
      </c>
      <c r="C53" s="5" t="str" cm="1">
        <f t="array" ref="C53">INDEX('3_TrainWindows'!C:C, A53+1)</f>
        <v>1951-11</v>
      </c>
      <c r="D53" s="5" t="str" cm="1">
        <f t="array" ref="D53">INDEX('3_TrainWindows'!D:D, A53+1)</f>
        <v>1952-10</v>
      </c>
      <c r="E53" s="4">
        <f>SUMPRODUCT($B$16:$M$16,'3_TrainWindows'!$E36:$P36)</f>
        <v>-10.17533991743038</v>
      </c>
      <c r="F53" s="4">
        <f>E53/($O$16 * '3_TrainWindows'!R36 + $B$9)</f>
        <v>-0.86399466887674126</v>
      </c>
      <c r="G53" s="4">
        <f t="shared" si="2"/>
        <v>-4.3199733443837056</v>
      </c>
      <c r="H53" s="4">
        <f t="shared" si="3"/>
        <v>9.6613247220574664E-5</v>
      </c>
      <c r="I53" s="5">
        <f t="shared" si="4"/>
        <v>3.1457485430577996E-6</v>
      </c>
      <c r="J53" s="4" cm="1">
        <f t="array" ref="J53">INDEX('3_TrainWindows'!Q:Q, A53+1)</f>
        <v>-0.81766990171785114</v>
      </c>
      <c r="K53" s="4">
        <f>SUMPRODUCT($B$16:$M$16,'3_TrainWindows'!$E36:$P36)</f>
        <v>-10.17533991743038</v>
      </c>
    </row>
    <row r="54" spans="1:11">
      <c r="A54" s="5">
        <f t="shared" si="1"/>
        <v>36</v>
      </c>
      <c r="B54" s="5" cm="1">
        <f t="array" ref="B54">INDEX('3_TrainWindows'!B:B, A54+1)</f>
        <v>47</v>
      </c>
      <c r="C54" s="5" t="str" cm="1">
        <f t="array" ref="C54">INDEX('3_TrainWindows'!C:C, A54+1)</f>
        <v>1951-12</v>
      </c>
      <c r="D54" s="5" t="str" cm="1">
        <f t="array" ref="D54">INDEX('3_TrainWindows'!D:D, A54+1)</f>
        <v>1952-11</v>
      </c>
      <c r="E54" s="4">
        <f>SUMPRODUCT($B$16:$M$16,'3_TrainWindows'!$E37:$P37)</f>
        <v>-10.029730867414695</v>
      </c>
      <c r="F54" s="4">
        <f>E54/($O$16 * '3_TrainWindows'!R37 + $B$9)</f>
        <v>-0.92584929160572838</v>
      </c>
      <c r="G54" s="4">
        <f t="shared" si="2"/>
        <v>-4.6292464580286419</v>
      </c>
      <c r="H54" s="4">
        <f t="shared" si="3"/>
        <v>7.0912218499724486E-5</v>
      </c>
      <c r="I54" s="5">
        <f t="shared" si="4"/>
        <v>2.3089174046827755E-6</v>
      </c>
      <c r="J54" s="4" cm="1">
        <f t="array" ref="J54">INDEX('3_TrainWindows'!Q:Q, A54+1)</f>
        <v>-0.5273876174847536</v>
      </c>
      <c r="K54" s="4">
        <f>SUMPRODUCT($B$16:$M$16,'3_TrainWindows'!$E37:$P37)</f>
        <v>-10.029730867414695</v>
      </c>
    </row>
    <row r="55" spans="1:11">
      <c r="A55" s="5">
        <f t="shared" si="1"/>
        <v>37</v>
      </c>
      <c r="B55" s="5" cm="1">
        <f t="array" ref="B55">INDEX('3_TrainWindows'!B:B, A55+1)</f>
        <v>48</v>
      </c>
      <c r="C55" s="5" t="str" cm="1">
        <f t="array" ref="C55">INDEX('3_TrainWindows'!C:C, A55+1)</f>
        <v>1952-01</v>
      </c>
      <c r="D55" s="5" t="str" cm="1">
        <f t="array" ref="D55">INDEX('3_TrainWindows'!D:D, A55+1)</f>
        <v>1952-12</v>
      </c>
      <c r="E55" s="4">
        <f>SUMPRODUCT($B$16:$M$16,'3_TrainWindows'!$E38:$P38)</f>
        <v>-9.4803871548622602</v>
      </c>
      <c r="F55" s="4">
        <f>E55/($O$16 * '3_TrainWindows'!R38 + $B$9)</f>
        <v>-0.93390265463227162</v>
      </c>
      <c r="G55" s="4">
        <f t="shared" si="2"/>
        <v>-4.6695132731613578</v>
      </c>
      <c r="H55" s="4">
        <f t="shared" si="3"/>
        <v>6.8113534494923761E-5</v>
      </c>
      <c r="I55" s="5">
        <f t="shared" si="4"/>
        <v>2.2177916389740524E-6</v>
      </c>
      <c r="J55" s="4" cm="1">
        <f t="array" ref="J55">INDEX('3_TrainWindows'!Q:Q, A55+1)</f>
        <v>-0.50265191447935864</v>
      </c>
      <c r="K55" s="4">
        <f>SUMPRODUCT($B$16:$M$16,'3_TrainWindows'!$E38:$P38)</f>
        <v>-9.4803871548622602</v>
      </c>
    </row>
    <row r="56" spans="1:11">
      <c r="A56" s="5">
        <f t="shared" si="1"/>
        <v>38</v>
      </c>
      <c r="B56" s="5" cm="1">
        <f t="array" ref="B56">INDEX('3_TrainWindows'!B:B, A56+1)</f>
        <v>49</v>
      </c>
      <c r="C56" s="5" t="str" cm="1">
        <f t="array" ref="C56">INDEX('3_TrainWindows'!C:C, A56+1)</f>
        <v>1952-02</v>
      </c>
      <c r="D56" s="5" t="str" cm="1">
        <f t="array" ref="D56">INDEX('3_TrainWindows'!D:D, A56+1)</f>
        <v>1953-01</v>
      </c>
      <c r="E56" s="4">
        <f>SUMPRODUCT($B$16:$M$16,'3_TrainWindows'!$E39:$P39)</f>
        <v>-9.0579101731675724</v>
      </c>
      <c r="F56" s="4">
        <f>E56/($O$16 * '3_TrainWindows'!R39 + $B$9)</f>
        <v>-0.94759543386681222</v>
      </c>
      <c r="G56" s="4">
        <f t="shared" si="2"/>
        <v>-4.7379771693340604</v>
      </c>
      <c r="H56" s="4">
        <f t="shared" si="3"/>
        <v>6.3606269444208048E-5</v>
      </c>
      <c r="I56" s="5">
        <f t="shared" si="4"/>
        <v>2.0710340992539217E-6</v>
      </c>
      <c r="J56" s="4" cm="1">
        <f t="array" ref="J56">INDEX('3_TrainWindows'!Q:Q, A56+1)</f>
        <v>-0.50265191447935864</v>
      </c>
      <c r="K56" s="4">
        <f>SUMPRODUCT($B$16:$M$16,'3_TrainWindows'!$E39:$P39)</f>
        <v>-9.0579101731675724</v>
      </c>
    </row>
    <row r="57" spans="1:11">
      <c r="A57" s="5">
        <f t="shared" si="1"/>
        <v>39</v>
      </c>
      <c r="B57" s="5" cm="1">
        <f t="array" ref="B57">INDEX('3_TrainWindows'!B:B, A57+1)</f>
        <v>50</v>
      </c>
      <c r="C57" s="5" t="str" cm="1">
        <f t="array" ref="C57">INDEX('3_TrainWindows'!C:C, A57+1)</f>
        <v>1952-03</v>
      </c>
      <c r="D57" s="5" t="str" cm="1">
        <f t="array" ref="D57">INDEX('3_TrainWindows'!D:D, A57+1)</f>
        <v>1953-02</v>
      </c>
      <c r="E57" s="4">
        <f>SUMPRODUCT($B$16:$M$16,'3_TrainWindows'!$E40:$P40)</f>
        <v>-8.4286947391466658</v>
      </c>
      <c r="F57" s="4">
        <f>E57/($O$16 * '3_TrainWindows'!R40 + $B$9)</f>
        <v>-0.9155223595647326</v>
      </c>
      <c r="G57" s="4">
        <f t="shared" si="2"/>
        <v>-4.5776117978236623</v>
      </c>
      <c r="H57" s="4">
        <f t="shared" si="3"/>
        <v>7.466992593615899E-5</v>
      </c>
      <c r="I57" s="5">
        <f t="shared" si="4"/>
        <v>2.4312691839001081E-6</v>
      </c>
      <c r="J57" s="4" cm="1">
        <f t="array" ref="J57">INDEX('3_TrainWindows'!Q:Q, A57+1)</f>
        <v>-5.4756035133188379E-2</v>
      </c>
      <c r="K57" s="4">
        <f>SUMPRODUCT($B$16:$M$16,'3_TrainWindows'!$E40:$P40)</f>
        <v>-8.4286947391466658</v>
      </c>
    </row>
    <row r="58" spans="1:11">
      <c r="A58" s="5">
        <f t="shared" si="1"/>
        <v>40</v>
      </c>
      <c r="B58" s="5" cm="1">
        <f t="array" ref="B58">INDEX('3_TrainWindows'!B:B, A58+1)</f>
        <v>51</v>
      </c>
      <c r="C58" s="5" t="str" cm="1">
        <f t="array" ref="C58">INDEX('3_TrainWindows'!C:C, A58+1)</f>
        <v>1952-04</v>
      </c>
      <c r="D58" s="5" t="str" cm="1">
        <f t="array" ref="D58">INDEX('3_TrainWindows'!D:D, A58+1)</f>
        <v>1953-03</v>
      </c>
      <c r="E58" s="4">
        <f>SUMPRODUCT($B$16:$M$16,'3_TrainWindows'!$E41:$P41)</f>
        <v>-7.276574146616456</v>
      </c>
      <c r="F58" s="4">
        <f>E58/($O$16 * '3_TrainWindows'!R41 + $B$9)</f>
        <v>-0.82877452004437291</v>
      </c>
      <c r="G58" s="4">
        <f t="shared" si="2"/>
        <v>-4.1438726002218642</v>
      </c>
      <c r="H58" s="4">
        <f t="shared" si="3"/>
        <v>1.1521691980298367E-4</v>
      </c>
      <c r="I58" s="5">
        <f t="shared" si="4"/>
        <v>3.751488207185087E-6</v>
      </c>
      <c r="J58" s="4" cm="1">
        <f t="array" ref="J58">INDEX('3_TrainWindows'!Q:Q, A58+1)</f>
        <v>-6.4996856895578492E-2</v>
      </c>
      <c r="K58" s="4">
        <f>SUMPRODUCT($B$16:$M$16,'3_TrainWindows'!$E41:$P41)</f>
        <v>-7.276574146616456</v>
      </c>
    </row>
    <row r="59" spans="1:11">
      <c r="A59" s="5">
        <f t="shared" si="1"/>
        <v>41</v>
      </c>
      <c r="B59" s="5" cm="1">
        <f t="array" ref="B59">INDEX('3_TrainWindows'!B:B, A59+1)</f>
        <v>52</v>
      </c>
      <c r="C59" s="5" t="str" cm="1">
        <f t="array" ref="C59">INDEX('3_TrainWindows'!C:C, A59+1)</f>
        <v>1952-05</v>
      </c>
      <c r="D59" s="5" t="str" cm="1">
        <f t="array" ref="D59">INDEX('3_TrainWindows'!D:D, A59+1)</f>
        <v>1953-04</v>
      </c>
      <c r="E59" s="4">
        <f>SUMPRODUCT($B$16:$M$16,'3_TrainWindows'!$E42:$P42)</f>
        <v>-5.6582898424388928</v>
      </c>
      <c r="F59" s="4">
        <f>E59/($O$16 * '3_TrainWindows'!R42 + $B$9)</f>
        <v>-0.70527730276509115</v>
      </c>
      <c r="G59" s="4">
        <f t="shared" si="2"/>
        <v>-3.5263865138254555</v>
      </c>
      <c r="H59" s="4">
        <f t="shared" si="3"/>
        <v>2.1364220941041666E-4</v>
      </c>
      <c r="I59" s="5">
        <f t="shared" si="4"/>
        <v>6.9562372482326139E-6</v>
      </c>
      <c r="J59" s="4" cm="1">
        <f t="array" ref="J59">INDEX('3_TrainWindows'!Q:Q, A59+1)</f>
        <v>-0.12737214146640555</v>
      </c>
      <c r="K59" s="4">
        <f>SUMPRODUCT($B$16:$M$16,'3_TrainWindows'!$E42:$P42)</f>
        <v>-5.6582898424388928</v>
      </c>
    </row>
    <row r="60" spans="1:11">
      <c r="A60" s="5">
        <f t="shared" si="1"/>
        <v>42</v>
      </c>
      <c r="B60" s="5" cm="1">
        <f t="array" ref="B60">INDEX('3_TrainWindows'!B:B, A60+1)</f>
        <v>53</v>
      </c>
      <c r="C60" s="5" t="str" cm="1">
        <f t="array" ref="C60">INDEX('3_TrainWindows'!C:C, A60+1)</f>
        <v>1952-06</v>
      </c>
      <c r="D60" s="5" t="str" cm="1">
        <f t="array" ref="D60">INDEX('3_TrainWindows'!D:D, A60+1)</f>
        <v>1953-05</v>
      </c>
      <c r="E60" s="4">
        <f>SUMPRODUCT($B$16:$M$16,'3_TrainWindows'!$E43:$P43)</f>
        <v>-4.6307961192501503</v>
      </c>
      <c r="F60" s="4">
        <f>E60/($O$16 * '3_TrainWindows'!R43 + $B$9)</f>
        <v>-0.6365514901456808</v>
      </c>
      <c r="G60" s="4">
        <f t="shared" si="2"/>
        <v>-3.182757450728404</v>
      </c>
      <c r="H60" s="4">
        <f t="shared" si="3"/>
        <v>3.0124737174238935E-4</v>
      </c>
      <c r="I60" s="5">
        <f t="shared" si="4"/>
        <v>9.8086805693950663E-6</v>
      </c>
      <c r="J60" s="4" cm="1">
        <f t="array" ref="J60">INDEX('3_TrainWindows'!Q:Q, A60+1)</f>
        <v>1.5737373000943165E-2</v>
      </c>
      <c r="K60" s="4">
        <f>SUMPRODUCT($B$16:$M$16,'3_TrainWindows'!$E43:$P43)</f>
        <v>-4.6307961192501503</v>
      </c>
    </row>
    <row r="61" spans="1:11">
      <c r="A61" s="5">
        <f t="shared" si="1"/>
        <v>43</v>
      </c>
      <c r="B61" s="5" cm="1">
        <f t="array" ref="B61">INDEX('3_TrainWindows'!B:B, A61+1)</f>
        <v>54</v>
      </c>
      <c r="C61" s="5" t="str" cm="1">
        <f t="array" ref="C61">INDEX('3_TrainWindows'!C:C, A61+1)</f>
        <v>1952-07</v>
      </c>
      <c r="D61" s="5" t="str" cm="1">
        <f t="array" ref="D61">INDEX('3_TrainWindows'!D:D, A61+1)</f>
        <v>1953-06</v>
      </c>
      <c r="E61" s="4">
        <f>SUMPRODUCT($B$16:$M$16,'3_TrainWindows'!$E44:$P44)</f>
        <v>-4.0768847681822589</v>
      </c>
      <c r="F61" s="4">
        <f>E61/($O$16 * '3_TrainWindows'!R44 + $B$9)</f>
        <v>-0.56910180655524678</v>
      </c>
      <c r="G61" s="4">
        <f t="shared" si="2"/>
        <v>-2.8455090327762336</v>
      </c>
      <c r="H61" s="4">
        <f t="shared" si="3"/>
        <v>4.2207379913465431E-4</v>
      </c>
      <c r="I61" s="5">
        <f t="shared" si="4"/>
        <v>1.3742815575377486E-5</v>
      </c>
      <c r="J61" s="4" cm="1">
        <f t="array" ref="J61">INDEX('3_TrainWindows'!Q:Q, A61+1)</f>
        <v>0.21563836284606777</v>
      </c>
      <c r="K61" s="4">
        <f>SUMPRODUCT($B$16:$M$16,'3_TrainWindows'!$E44:$P44)</f>
        <v>-4.0768847681822589</v>
      </c>
    </row>
    <row r="62" spans="1:11">
      <c r="A62" s="5">
        <f t="shared" si="1"/>
        <v>44</v>
      </c>
      <c r="B62" s="5" cm="1">
        <f t="array" ref="B62">INDEX('3_TrainWindows'!B:B, A62+1)</f>
        <v>55</v>
      </c>
      <c r="C62" s="5" t="str" cm="1">
        <f t="array" ref="C62">INDEX('3_TrainWindows'!C:C, A62+1)</f>
        <v>1952-08</v>
      </c>
      <c r="D62" s="5" t="str" cm="1">
        <f t="array" ref="D62">INDEX('3_TrainWindows'!D:D, A62+1)</f>
        <v>1953-07</v>
      </c>
      <c r="E62" s="4">
        <f>SUMPRODUCT($B$16:$M$16,'3_TrainWindows'!$E45:$P45)</f>
        <v>-3.8703306760867688</v>
      </c>
      <c r="F62" s="4">
        <f>E62/($O$16 * '3_TrainWindows'!R45 + $B$9)</f>
        <v>-0.53572840821340595</v>
      </c>
      <c r="G62" s="4">
        <f t="shared" si="2"/>
        <v>-2.6786420410670297</v>
      </c>
      <c r="H62" s="4">
        <f t="shared" si="3"/>
        <v>4.9872117393966761E-4</v>
      </c>
      <c r="I62" s="5">
        <f t="shared" si="4"/>
        <v>1.6238470928639728E-5</v>
      </c>
      <c r="J62" s="4" cm="1">
        <f t="array" ref="J62">INDEX('3_TrainWindows'!Q:Q, A62+1)</f>
        <v>0.28763504965584735</v>
      </c>
      <c r="K62" s="4">
        <f>SUMPRODUCT($B$16:$M$16,'3_TrainWindows'!$E45:$P45)</f>
        <v>-3.8703306760867688</v>
      </c>
    </row>
    <row r="63" spans="1:11">
      <c r="A63" s="5">
        <f t="shared" si="1"/>
        <v>45</v>
      </c>
      <c r="B63" s="5" cm="1">
        <f t="array" ref="B63">INDEX('3_TrainWindows'!B:B, A63+1)</f>
        <v>56</v>
      </c>
      <c r="C63" s="5" t="str" cm="1">
        <f t="array" ref="C63">INDEX('3_TrainWindows'!C:C, A63+1)</f>
        <v>1952-09</v>
      </c>
      <c r="D63" s="5" t="str" cm="1">
        <f t="array" ref="D63">INDEX('3_TrainWindows'!D:D, A63+1)</f>
        <v>1953-08</v>
      </c>
      <c r="E63" s="4">
        <f>SUMPRODUCT($B$16:$M$16,'3_TrainWindows'!$E46:$P46)</f>
        <v>-4.2406672395552816</v>
      </c>
      <c r="F63" s="4">
        <f>E63/($O$16 * '3_TrainWindows'!R46 + $B$9)</f>
        <v>-0.57499926732371975</v>
      </c>
      <c r="G63" s="4">
        <f t="shared" si="2"/>
        <v>-2.8749963366185987</v>
      </c>
      <c r="H63" s="4">
        <f t="shared" si="3"/>
        <v>4.0980968719852272E-4</v>
      </c>
      <c r="I63" s="5">
        <f t="shared" si="4"/>
        <v>1.3343493397882474E-5</v>
      </c>
      <c r="J63" s="4" cm="1">
        <f t="array" ref="J63">INDEX('3_TrainWindows'!Q:Q, A63+1)</f>
        <v>-4.455851507203791E-2</v>
      </c>
      <c r="K63" s="4">
        <f>SUMPRODUCT($B$16:$M$16,'3_TrainWindows'!$E46:$P46)</f>
        <v>-4.2406672395552816</v>
      </c>
    </row>
    <row r="64" spans="1:11">
      <c r="A64" s="5">
        <f t="shared" si="1"/>
        <v>46</v>
      </c>
      <c r="B64" s="5" cm="1">
        <f t="array" ref="B64">INDEX('3_TrainWindows'!B:B, A64+1)</f>
        <v>57</v>
      </c>
      <c r="C64" s="5" t="str" cm="1">
        <f t="array" ref="C64">INDEX('3_TrainWindows'!C:C, A64+1)</f>
        <v>1952-10</v>
      </c>
      <c r="D64" s="5" t="str" cm="1">
        <f t="array" ref="D64">INDEX('3_TrainWindows'!D:D, A64+1)</f>
        <v>1953-09</v>
      </c>
      <c r="E64" s="4">
        <f>SUMPRODUCT($B$16:$M$16,'3_TrainWindows'!$E47:$P47)</f>
        <v>-4.231602278045246</v>
      </c>
      <c r="F64" s="4">
        <f>E64/($O$16 * '3_TrainWindows'!R47 + $B$9)</f>
        <v>-0.59122295501912958</v>
      </c>
      <c r="G64" s="4">
        <f t="shared" si="2"/>
        <v>-2.9561147750956476</v>
      </c>
      <c r="H64" s="4">
        <f t="shared" si="3"/>
        <v>3.7787915014582694E-4</v>
      </c>
      <c r="I64" s="5">
        <f t="shared" si="4"/>
        <v>1.2303828100397472E-5</v>
      </c>
      <c r="J64" s="4" cm="1">
        <f t="array" ref="J64">INDEX('3_TrainWindows'!Q:Q, A64+1)</f>
        <v>-0.32480404748869124</v>
      </c>
      <c r="K64" s="4">
        <f>SUMPRODUCT($B$16:$M$16,'3_TrainWindows'!$E47:$P47)</f>
        <v>-4.231602278045246</v>
      </c>
    </row>
    <row r="65" spans="1:11">
      <c r="A65" s="5">
        <f t="shared" si="1"/>
        <v>47</v>
      </c>
      <c r="B65" s="5" cm="1">
        <f t="array" ref="B65">INDEX('3_TrainWindows'!B:B, A65+1)</f>
        <v>58</v>
      </c>
      <c r="C65" s="5" t="str" cm="1">
        <f t="array" ref="C65">INDEX('3_TrainWindows'!C:C, A65+1)</f>
        <v>1952-11</v>
      </c>
      <c r="D65" s="5" t="str" cm="1">
        <f t="array" ref="D65">INDEX('3_TrainWindows'!D:D, A65+1)</f>
        <v>1953-10</v>
      </c>
      <c r="E65" s="4">
        <f>SUMPRODUCT($B$16:$M$16,'3_TrainWindows'!$E48:$P48)</f>
        <v>-4.2359861302228232</v>
      </c>
      <c r="F65" s="4">
        <f>E65/($O$16 * '3_TrainWindows'!R48 + $B$9)</f>
        <v>-0.62767779396107948</v>
      </c>
      <c r="G65" s="4">
        <f t="shared" si="2"/>
        <v>-3.1383889698053973</v>
      </c>
      <c r="H65" s="4">
        <f t="shared" si="3"/>
        <v>3.1491420642815415E-4</v>
      </c>
      <c r="I65" s="5">
        <f t="shared" si="4"/>
        <v>1.0253675707616658E-5</v>
      </c>
      <c r="J65" s="4" cm="1">
        <f t="array" ref="J65">INDEX('3_TrainWindows'!Q:Q, A65+1)</f>
        <v>-0.70802784402254137</v>
      </c>
      <c r="K65" s="4">
        <f>SUMPRODUCT($B$16:$M$16,'3_TrainWindows'!$E48:$P48)</f>
        <v>-4.2359861302228232</v>
      </c>
    </row>
    <row r="66" spans="1:11">
      <c r="A66" s="5">
        <f t="shared" si="1"/>
        <v>48</v>
      </c>
      <c r="B66" s="5" cm="1">
        <f t="array" ref="B66">INDEX('3_TrainWindows'!B:B, A66+1)</f>
        <v>59</v>
      </c>
      <c r="C66" s="5" t="str" cm="1">
        <f t="array" ref="C66">INDEX('3_TrainWindows'!C:C, A66+1)</f>
        <v>1952-12</v>
      </c>
      <c r="D66" s="5" t="str" cm="1">
        <f t="array" ref="D66">INDEX('3_TrainWindows'!D:D, A66+1)</f>
        <v>1953-11</v>
      </c>
      <c r="E66" s="4">
        <f>SUMPRODUCT($B$16:$M$16,'3_TrainWindows'!$E49:$P49)</f>
        <v>-4.4549645143479584</v>
      </c>
      <c r="F66" s="4">
        <f>E66/($O$16 * '3_TrainWindows'!R49 + $B$9)</f>
        <v>-0.69494010624345492</v>
      </c>
      <c r="G66" s="4">
        <f t="shared" si="2"/>
        <v>-3.4747005312172745</v>
      </c>
      <c r="H66" s="4">
        <f t="shared" si="3"/>
        <v>2.249748638567196E-4</v>
      </c>
      <c r="I66" s="5">
        <f t="shared" si="4"/>
        <v>7.3252309653368974E-6</v>
      </c>
      <c r="J66" s="4" cm="1">
        <f t="array" ref="J66">INDEX('3_TrainWindows'!Q:Q, A66+1)</f>
        <v>-0.44190034196453754</v>
      </c>
      <c r="K66" s="4">
        <f>SUMPRODUCT($B$16:$M$16,'3_TrainWindows'!$E49:$P49)</f>
        <v>-4.4549645143479584</v>
      </c>
    </row>
    <row r="67" spans="1:11">
      <c r="A67" s="5">
        <f t="shared" si="1"/>
        <v>49</v>
      </c>
      <c r="B67" s="5" cm="1">
        <f t="array" ref="B67">INDEX('3_TrainWindows'!B:B, A67+1)</f>
        <v>60</v>
      </c>
      <c r="C67" s="5" t="str" cm="1">
        <f t="array" ref="C67">INDEX('3_TrainWindows'!C:C, A67+1)</f>
        <v>1953-01</v>
      </c>
      <c r="D67" s="5" t="str" cm="1">
        <f t="array" ref="D67">INDEX('3_TrainWindows'!D:D, A67+1)</f>
        <v>1953-12</v>
      </c>
      <c r="E67" s="4">
        <f>SUMPRODUCT($B$16:$M$16,'3_TrainWindows'!$E50:$P50)</f>
        <v>-4.4191438594227606</v>
      </c>
      <c r="F67" s="4">
        <f>E67/($O$16 * '3_TrainWindows'!R50 + $B$9)</f>
        <v>-0.7086143424614646</v>
      </c>
      <c r="G67" s="4">
        <f t="shared" si="2"/>
        <v>-3.5430717123073228</v>
      </c>
      <c r="H67" s="4">
        <f t="shared" si="3"/>
        <v>2.1010712058411516E-4</v>
      </c>
      <c r="I67" s="5">
        <f t="shared" si="4"/>
        <v>6.8411339798420068E-6</v>
      </c>
      <c r="J67" s="4" cm="1">
        <f t="array" ref="J67">INDEX('3_TrainWindows'!Q:Q, A67+1)</f>
        <v>-0.40617065288862625</v>
      </c>
      <c r="K67" s="4">
        <f>SUMPRODUCT($B$16:$M$16,'3_TrainWindows'!$E50:$P50)</f>
        <v>-4.4191438594227606</v>
      </c>
    </row>
    <row r="68" spans="1:11">
      <c r="A68" s="5">
        <f t="shared" si="1"/>
        <v>50</v>
      </c>
      <c r="B68" s="5" cm="1">
        <f t="array" ref="B68">INDEX('3_TrainWindows'!B:B, A68+1)</f>
        <v>61</v>
      </c>
      <c r="C68" s="5" t="str" cm="1">
        <f t="array" ref="C68">INDEX('3_TrainWindows'!C:C, A68+1)</f>
        <v>1953-02</v>
      </c>
      <c r="D68" s="5" t="str" cm="1">
        <f t="array" ref="D68">INDEX('3_TrainWindows'!D:D, A68+1)</f>
        <v>1954-01</v>
      </c>
      <c r="E68" s="4">
        <f>SUMPRODUCT($B$16:$M$16,'3_TrainWindows'!$E51:$P51)</f>
        <v>-4.045657234311161</v>
      </c>
      <c r="F68" s="4">
        <f>E68/($O$16 * '3_TrainWindows'!R51 + $B$9)</f>
        <v>-0.66909594794257476</v>
      </c>
      <c r="G68" s="4">
        <f t="shared" si="2"/>
        <v>-3.3454797397128737</v>
      </c>
      <c r="H68" s="4">
        <f t="shared" si="3"/>
        <v>2.5600819899111596E-4</v>
      </c>
      <c r="I68" s="5">
        <f t="shared" si="4"/>
        <v>8.3356831713617268E-6</v>
      </c>
      <c r="J68" s="4" cm="1">
        <f t="array" ref="J68">INDEX('3_TrainWindows'!Q:Q, A68+1)</f>
        <v>-0.6031543690004495</v>
      </c>
      <c r="K68" s="4">
        <f>SUMPRODUCT($B$16:$M$16,'3_TrainWindows'!$E51:$P51)</f>
        <v>-4.045657234311161</v>
      </c>
    </row>
    <row r="69" spans="1:11">
      <c r="A69" s="5">
        <f t="shared" si="1"/>
        <v>51</v>
      </c>
      <c r="B69" s="5" cm="1">
        <f t="array" ref="B69">INDEX('3_TrainWindows'!B:B, A69+1)</f>
        <v>62</v>
      </c>
      <c r="C69" s="5" t="str" cm="1">
        <f t="array" ref="C69">INDEX('3_TrainWindows'!C:C, A69+1)</f>
        <v>1953-03</v>
      </c>
      <c r="D69" s="5" t="str" cm="1">
        <f t="array" ref="D69">INDEX('3_TrainWindows'!D:D, A69+1)</f>
        <v>1954-02</v>
      </c>
      <c r="E69" s="4">
        <f>SUMPRODUCT($B$16:$M$16,'3_TrainWindows'!$E52:$P52)</f>
        <v>-3.6917513019907964</v>
      </c>
      <c r="F69" s="4">
        <f>E69/($O$16 * '3_TrainWindows'!R52 + $B$9)</f>
        <v>-0.58728559499030519</v>
      </c>
      <c r="G69" s="4">
        <f t="shared" si="2"/>
        <v>-2.9364279749515259</v>
      </c>
      <c r="H69" s="4">
        <f t="shared" si="3"/>
        <v>3.8539209169504048E-4</v>
      </c>
      <c r="I69" s="5">
        <f t="shared" si="4"/>
        <v>1.2548451126870842E-5</v>
      </c>
      <c r="J69" s="4" cm="1">
        <f t="array" ref="J69">INDEX('3_TrainWindows'!Q:Q, A69+1)</f>
        <v>-6.4996856895578492E-2</v>
      </c>
      <c r="K69" s="4">
        <f>SUMPRODUCT($B$16:$M$16,'3_TrainWindows'!$E52:$P52)</f>
        <v>-3.6917513019907964</v>
      </c>
    </row>
    <row r="70" spans="1:11">
      <c r="A70" s="5">
        <f t="shared" si="1"/>
        <v>52</v>
      </c>
      <c r="B70" s="5" cm="1">
        <f t="array" ref="B70">INDEX('3_TrainWindows'!B:B, A70+1)</f>
        <v>63</v>
      </c>
      <c r="C70" s="5" t="str" cm="1">
        <f t="array" ref="C70">INDEX('3_TrainWindows'!C:C, A70+1)</f>
        <v>1953-04</v>
      </c>
      <c r="D70" s="5" t="str" cm="1">
        <f t="array" ref="D70">INDEX('3_TrainWindows'!D:D, A70+1)</f>
        <v>1954-03</v>
      </c>
      <c r="E70" s="4">
        <f>SUMPRODUCT($B$16:$M$16,'3_TrainWindows'!$E53:$P53)</f>
        <v>-3.1438763312494267</v>
      </c>
      <c r="F70" s="4">
        <f>E70/($O$16 * '3_TrainWindows'!R53 + $B$9)</f>
        <v>-0.49992309853742189</v>
      </c>
      <c r="G70" s="4">
        <f t="shared" si="2"/>
        <v>-2.4996154926871093</v>
      </c>
      <c r="H70" s="4">
        <f t="shared" si="3"/>
        <v>5.9649670539854954E-4</v>
      </c>
      <c r="I70" s="5">
        <f t="shared" si="4"/>
        <v>1.9422063701701793E-5</v>
      </c>
      <c r="J70" s="4" cm="1">
        <f t="array" ref="J70">INDEX('3_TrainWindows'!Q:Q, A70+1)</f>
        <v>-0.14852762713190565</v>
      </c>
      <c r="K70" s="4">
        <f>SUMPRODUCT($B$16:$M$16,'3_TrainWindows'!$E53:$P53)</f>
        <v>-3.1438763312494267</v>
      </c>
    </row>
    <row r="71" spans="1:11">
      <c r="A71" s="5">
        <f t="shared" si="1"/>
        <v>53</v>
      </c>
      <c r="B71" s="5" cm="1">
        <f t="array" ref="B71">INDEX('3_TrainWindows'!B:B, A71+1)</f>
        <v>64</v>
      </c>
      <c r="C71" s="5" t="str" cm="1">
        <f t="array" ref="C71">INDEX('3_TrainWindows'!C:C, A71+1)</f>
        <v>1953-05</v>
      </c>
      <c r="D71" s="5" t="str" cm="1">
        <f t="array" ref="D71">INDEX('3_TrainWindows'!D:D, A71+1)</f>
        <v>1954-04</v>
      </c>
      <c r="E71" s="4">
        <f>SUMPRODUCT($B$16:$M$16,'3_TrainWindows'!$E54:$P54)</f>
        <v>-2.6463722432483765</v>
      </c>
      <c r="F71" s="4">
        <f>E71/($O$16 * '3_TrainWindows'!R54 + $B$9)</f>
        <v>-0.41831128117758942</v>
      </c>
      <c r="G71" s="4">
        <f t="shared" si="2"/>
        <v>-2.091556405887947</v>
      </c>
      <c r="H71" s="4">
        <f t="shared" si="3"/>
        <v>8.9706902056385478E-4</v>
      </c>
      <c r="I71" s="5">
        <f t="shared" si="4"/>
        <v>2.9208764280723533E-5</v>
      </c>
      <c r="J71" s="4" cm="1">
        <f t="array" ref="J71">INDEX('3_TrainWindows'!Q:Q, A71+1)</f>
        <v>-7.5281349671761699E-2</v>
      </c>
      <c r="K71" s="4">
        <f>SUMPRODUCT($B$16:$M$16,'3_TrainWindows'!$E54:$P54)</f>
        <v>-2.6463722432483765</v>
      </c>
    </row>
    <row r="72" spans="1:11">
      <c r="A72" s="5">
        <f t="shared" si="1"/>
        <v>54</v>
      </c>
      <c r="B72" s="5" cm="1">
        <f t="array" ref="B72">INDEX('3_TrainWindows'!B:B, A72+1)</f>
        <v>65</v>
      </c>
      <c r="C72" s="5" t="str" cm="1">
        <f t="array" ref="C72">INDEX('3_TrainWindows'!C:C, A72+1)</f>
        <v>1953-06</v>
      </c>
      <c r="D72" s="5" t="str" cm="1">
        <f t="array" ref="D72">INDEX('3_TrainWindows'!D:D, A72+1)</f>
        <v>1954-05</v>
      </c>
      <c r="E72" s="4">
        <f>SUMPRODUCT($B$16:$M$16,'3_TrainWindows'!$E55:$P55)</f>
        <v>-2.2809454942784733</v>
      </c>
      <c r="F72" s="4">
        <f>E72/($O$16 * '3_TrainWindows'!R55 + $B$9)</f>
        <v>-0.36181970466906305</v>
      </c>
      <c r="G72" s="4">
        <f t="shared" si="2"/>
        <v>-1.8090985233453152</v>
      </c>
      <c r="H72" s="4">
        <f t="shared" si="3"/>
        <v>1.1898597091001006E-3</v>
      </c>
      <c r="I72" s="5">
        <f t="shared" si="4"/>
        <v>3.8742093388076422E-5</v>
      </c>
      <c r="J72" s="4" cm="1">
        <f t="array" ref="J72">INDEX('3_TrainWindows'!Q:Q, A72+1)</f>
        <v>0.21563836284606777</v>
      </c>
      <c r="K72" s="4">
        <f>SUMPRODUCT($B$16:$M$16,'3_TrainWindows'!$E55:$P55)</f>
        <v>-2.2809454942784733</v>
      </c>
    </row>
    <row r="73" spans="1:11">
      <c r="A73" s="5">
        <f t="shared" si="1"/>
        <v>55</v>
      </c>
      <c r="B73" s="5" cm="1">
        <f t="array" ref="B73">INDEX('3_TrainWindows'!B:B, A73+1)</f>
        <v>66</v>
      </c>
      <c r="C73" s="5" t="str" cm="1">
        <f t="array" ref="C73">INDEX('3_TrainWindows'!C:C, A73+1)</f>
        <v>1953-07</v>
      </c>
      <c r="D73" s="5" t="str" cm="1">
        <f t="array" ref="D73">INDEX('3_TrainWindows'!D:D, A73+1)</f>
        <v>1954-06</v>
      </c>
      <c r="E73" s="4">
        <f>SUMPRODUCT($B$16:$M$16,'3_TrainWindows'!$E56:$P56)</f>
        <v>-1.6092857761528796</v>
      </c>
      <c r="F73" s="4">
        <f>E73/($O$16 * '3_TrainWindows'!R56 + $B$9)</f>
        <v>-0.25141490247962389</v>
      </c>
      <c r="G73" s="4">
        <f t="shared" si="2"/>
        <v>-1.2570745123981193</v>
      </c>
      <c r="H73" s="4">
        <f t="shared" si="3"/>
        <v>2.0665063330856034E-3</v>
      </c>
      <c r="I73" s="5">
        <f t="shared" si="4"/>
        <v>6.7285899952024053E-5</v>
      </c>
      <c r="J73" s="4" cm="1">
        <f t="array" ref="J73">INDEX('3_TrainWindows'!Q:Q, A73+1)</f>
        <v>0.53996008009070218</v>
      </c>
      <c r="K73" s="4">
        <f>SUMPRODUCT($B$16:$M$16,'3_TrainWindows'!$E56:$P56)</f>
        <v>-1.6092857761528796</v>
      </c>
    </row>
    <row r="74" spans="1:11">
      <c r="A74" s="5">
        <f t="shared" si="1"/>
        <v>56</v>
      </c>
      <c r="B74" s="5" cm="1">
        <f t="array" ref="B74">INDEX('3_TrainWindows'!B:B, A74+1)</f>
        <v>67</v>
      </c>
      <c r="C74" s="5" t="str" cm="1">
        <f t="array" ref="C74">INDEX('3_TrainWindows'!C:C, A74+1)</f>
        <v>1953-08</v>
      </c>
      <c r="D74" s="5" t="str" cm="1">
        <f t="array" ref="D74">INDEX('3_TrainWindows'!D:D, A74+1)</f>
        <v>1954-07</v>
      </c>
      <c r="E74" s="4">
        <f>SUMPRODUCT($B$16:$M$16,'3_TrainWindows'!$E57:$P57)</f>
        <v>-1.1177341427949081</v>
      </c>
      <c r="F74" s="4">
        <f>E74/($O$16 * '3_TrainWindows'!R57 + $B$9)</f>
        <v>-0.16219621463512149</v>
      </c>
      <c r="G74" s="4">
        <f t="shared" si="2"/>
        <v>-0.81098107317560741</v>
      </c>
      <c r="H74" s="4">
        <f t="shared" si="3"/>
        <v>3.2282908830953108E-3</v>
      </c>
      <c r="I74" s="5">
        <f t="shared" si="4"/>
        <v>1.0511385999560078E-4</v>
      </c>
      <c r="J74" s="4" cm="1">
        <f t="array" ref="J74">INDEX('3_TrainWindows'!Q:Q, A74+1)</f>
        <v>0.4669952238976891</v>
      </c>
      <c r="K74" s="4">
        <f>SUMPRODUCT($B$16:$M$16,'3_TrainWindows'!$E57:$P57)</f>
        <v>-1.1177341427949081</v>
      </c>
    </row>
    <row r="75" spans="1:11">
      <c r="A75" s="5">
        <f t="shared" si="1"/>
        <v>57</v>
      </c>
      <c r="B75" s="5" cm="1">
        <f t="array" ref="B75">INDEX('3_TrainWindows'!B:B, A75+1)</f>
        <v>68</v>
      </c>
      <c r="C75" s="5" t="str" cm="1">
        <f t="array" ref="C75">INDEX('3_TrainWindows'!C:C, A75+1)</f>
        <v>1953-09</v>
      </c>
      <c r="D75" s="5" t="str" cm="1">
        <f t="array" ref="D75">INDEX('3_TrainWindows'!D:D, A75+1)</f>
        <v>1954-08</v>
      </c>
      <c r="E75" s="4">
        <f>SUMPRODUCT($B$16:$M$16,'3_TrainWindows'!$E58:$P58)</f>
        <v>-1.7578238687754646</v>
      </c>
      <c r="F75" s="4">
        <f>E75/($O$16 * '3_TrainWindows'!R58 + $B$9)</f>
        <v>-0.245929900130618</v>
      </c>
      <c r="G75" s="4">
        <f t="shared" si="2"/>
        <v>-1.2296495006530899</v>
      </c>
      <c r="H75" s="4">
        <f t="shared" si="3"/>
        <v>2.1239645889113263E-3</v>
      </c>
      <c r="I75" s="5">
        <f t="shared" si="4"/>
        <v>6.9156753377928957E-5</v>
      </c>
      <c r="J75" s="4" cm="1">
        <f t="array" ref="J75">INDEX('3_TrainWindows'!Q:Q, A75+1)</f>
        <v>0.1695239578666341</v>
      </c>
      <c r="K75" s="4">
        <f>SUMPRODUCT($B$16:$M$16,'3_TrainWindows'!$E58:$P58)</f>
        <v>-1.7578238687754646</v>
      </c>
    </row>
    <row r="76" spans="1:11">
      <c r="A76" s="5">
        <f t="shared" si="1"/>
        <v>58</v>
      </c>
      <c r="B76" s="5" cm="1">
        <f t="array" ref="B76">INDEX('3_TrainWindows'!B:B, A76+1)</f>
        <v>69</v>
      </c>
      <c r="C76" s="5" t="str" cm="1">
        <f t="array" ref="C76">INDEX('3_TrainWindows'!C:C, A76+1)</f>
        <v>1953-10</v>
      </c>
      <c r="D76" s="5" t="str" cm="1">
        <f t="array" ref="D76">INDEX('3_TrainWindows'!D:D, A76+1)</f>
        <v>1954-09</v>
      </c>
      <c r="E76" s="4">
        <f>SUMPRODUCT($B$16:$M$16,'3_TrainWindows'!$E59:$P59)</f>
        <v>-1.8914209585293471</v>
      </c>
      <c r="F76" s="4">
        <f>E76/($O$16 * '3_TrainWindows'!R59 + $B$9)</f>
        <v>-0.2627972461818277</v>
      </c>
      <c r="G76" s="4">
        <f t="shared" si="2"/>
        <v>-1.3139862309091384</v>
      </c>
      <c r="H76" s="4">
        <f t="shared" si="3"/>
        <v>1.9521819604641942E-3</v>
      </c>
      <c r="I76" s="5">
        <f t="shared" si="4"/>
        <v>6.356347327704932E-5</v>
      </c>
      <c r="J76" s="4" cm="1">
        <f t="array" ref="J76">INDEX('3_TrainWindows'!Q:Q, A76+1)</f>
        <v>-0.12737214146640555</v>
      </c>
      <c r="K76" s="4">
        <f>SUMPRODUCT($B$16:$M$16,'3_TrainWindows'!$E59:$P59)</f>
        <v>-1.8914209585293471</v>
      </c>
    </row>
    <row r="77" spans="1:11">
      <c r="A77" s="5">
        <f t="shared" si="1"/>
        <v>59</v>
      </c>
      <c r="B77" s="5" cm="1">
        <f t="array" ref="B77">INDEX('3_TrainWindows'!B:B, A77+1)</f>
        <v>70</v>
      </c>
      <c r="C77" s="5" t="str" cm="1">
        <f t="array" ref="C77">INDEX('3_TrainWindows'!C:C, A77+1)</f>
        <v>1953-11</v>
      </c>
      <c r="D77" s="5" t="str" cm="1">
        <f t="array" ref="D77">INDEX('3_TrainWindows'!D:D, A77+1)</f>
        <v>1954-10</v>
      </c>
      <c r="E77" s="4">
        <f>SUMPRODUCT($B$16:$M$16,'3_TrainWindows'!$E60:$P60)</f>
        <v>-2.2452769663851351</v>
      </c>
      <c r="F77" s="4">
        <f>E77/($O$16 * '3_TrainWindows'!R60 + $B$9)</f>
        <v>-0.31936773813102404</v>
      </c>
      <c r="G77" s="4">
        <f t="shared" si="2"/>
        <v>-1.5968386906551202</v>
      </c>
      <c r="H77" s="4">
        <f t="shared" si="3"/>
        <v>1.4712247855790124E-3</v>
      </c>
      <c r="I77" s="5">
        <f t="shared" si="4"/>
        <v>4.7903402058098977E-5</v>
      </c>
      <c r="J77" s="4" cm="1">
        <f t="array" ref="J77">INDEX('3_TrainWindows'!Q:Q, A77+1)</f>
        <v>-0.41802183104253982</v>
      </c>
      <c r="K77" s="4">
        <f>SUMPRODUCT($B$16:$M$16,'3_TrainWindows'!$E60:$P60)</f>
        <v>-2.2452769663851351</v>
      </c>
    </row>
    <row r="78" spans="1:11">
      <c r="A78" s="5">
        <f t="shared" si="1"/>
        <v>60</v>
      </c>
      <c r="B78" s="5" cm="1">
        <f t="array" ref="B78">INDEX('3_TrainWindows'!B:B, A78+1)</f>
        <v>71</v>
      </c>
      <c r="C78" s="5" t="str" cm="1">
        <f t="array" ref="C78">INDEX('3_TrainWindows'!C:C, A78+1)</f>
        <v>1953-12</v>
      </c>
      <c r="D78" s="5" t="str" cm="1">
        <f t="array" ref="D78">INDEX('3_TrainWindows'!D:D, A78+1)</f>
        <v>1954-11</v>
      </c>
      <c r="E78" s="4">
        <f>SUMPRODUCT($B$16:$M$16,'3_TrainWindows'!$E61:$P61)</f>
        <v>-2.3696795353732916</v>
      </c>
      <c r="F78" s="4">
        <f>E78/($O$16 * '3_TrainWindows'!R61 + $B$9)</f>
        <v>-0.37125616584869203</v>
      </c>
      <c r="G78" s="4">
        <f t="shared" si="2"/>
        <v>-1.8562808292434601</v>
      </c>
      <c r="H78" s="4">
        <f t="shared" si="3"/>
        <v>1.1350232130640341E-3</v>
      </c>
      <c r="I78" s="5">
        <f t="shared" si="4"/>
        <v>3.6956605036587546E-5</v>
      </c>
      <c r="J78" s="4" cm="1">
        <f t="array" ref="J78">INDEX('3_TrainWindows'!Q:Q, A78+1)</f>
        <v>-0.12737214146640555</v>
      </c>
      <c r="K78" s="4">
        <f>SUMPRODUCT($B$16:$M$16,'3_TrainWindows'!$E61:$P61)</f>
        <v>-2.3696795353732916</v>
      </c>
    </row>
    <row r="79" spans="1:11">
      <c r="A79" s="5">
        <f t="shared" si="1"/>
        <v>61</v>
      </c>
      <c r="B79" s="5" cm="1">
        <f t="array" ref="B79">INDEX('3_TrainWindows'!B:B, A79+1)</f>
        <v>72</v>
      </c>
      <c r="C79" s="5" t="str" cm="1">
        <f t="array" ref="C79">INDEX('3_TrainWindows'!C:C, A79+1)</f>
        <v>1954-01</v>
      </c>
      <c r="D79" s="5" t="str" cm="1">
        <f t="array" ref="D79">INDEX('3_TrainWindows'!D:D, A79+1)</f>
        <v>1954-12</v>
      </c>
      <c r="E79" s="4">
        <f>SUMPRODUCT($B$16:$M$16,'3_TrainWindows'!$E62:$P62)</f>
        <v>-2.2446737593583563</v>
      </c>
      <c r="F79" s="4">
        <f>E79/($O$16 * '3_TrainWindows'!R62 + $B$9)</f>
        <v>-0.37422180214606399</v>
      </c>
      <c r="G79" s="4">
        <f t="shared" si="2"/>
        <v>-1.8711090107303199</v>
      </c>
      <c r="H79" s="4">
        <f t="shared" si="3"/>
        <v>1.1183170499824474E-3</v>
      </c>
      <c r="I79" s="5">
        <f t="shared" si="4"/>
        <v>3.6412648698446837E-5</v>
      </c>
      <c r="J79" s="4" cm="1">
        <f t="array" ref="J79">INDEX('3_TrainWindows'!Q:Q, A79+1)</f>
        <v>5.7921634386639814E-3</v>
      </c>
      <c r="K79" s="4">
        <f>SUMPRODUCT($B$16:$M$16,'3_TrainWindows'!$E62:$P62)</f>
        <v>-2.2446737593583563</v>
      </c>
    </row>
    <row r="80" spans="1:11">
      <c r="A80" s="5">
        <f t="shared" si="1"/>
        <v>62</v>
      </c>
      <c r="B80" s="5" cm="1">
        <f t="array" ref="B80">INDEX('3_TrainWindows'!B:B, A80+1)</f>
        <v>73</v>
      </c>
      <c r="C80" s="5" t="str" cm="1">
        <f t="array" ref="C80">INDEX('3_TrainWindows'!C:C, A80+1)</f>
        <v>1954-02</v>
      </c>
      <c r="D80" s="5" t="str" cm="1">
        <f t="array" ref="D80">INDEX('3_TrainWindows'!D:D, A80+1)</f>
        <v>1955-01</v>
      </c>
      <c r="E80" s="4">
        <f>SUMPRODUCT($B$16:$M$16,'3_TrainWindows'!$E63:$P63)</f>
        <v>-1.3932869510951413</v>
      </c>
      <c r="F80" s="4">
        <f>E80/($O$16 * '3_TrainWindows'!R63 + $B$9)</f>
        <v>-0.24788541405574699</v>
      </c>
      <c r="G80" s="4">
        <f t="shared" si="2"/>
        <v>-1.2394270702787349</v>
      </c>
      <c r="H80" s="4">
        <f t="shared" si="3"/>
        <v>2.1032985736031094E-3</v>
      </c>
      <c r="I80" s="5">
        <f t="shared" si="4"/>
        <v>6.848386338181682E-5</v>
      </c>
      <c r="J80" s="4" cm="1">
        <f t="array" ref="J80">INDEX('3_TrainWindows'!Q:Q, A80+1)</f>
        <v>-8.5609887519242714E-2</v>
      </c>
      <c r="K80" s="4">
        <f>SUMPRODUCT($B$16:$M$16,'3_TrainWindows'!$E63:$P63)</f>
        <v>-1.3932869510951413</v>
      </c>
    </row>
    <row r="81" spans="1:11">
      <c r="A81" s="5">
        <f t="shared" si="1"/>
        <v>63</v>
      </c>
      <c r="B81" s="5" cm="1">
        <f t="array" ref="B81">INDEX('3_TrainWindows'!B:B, A81+1)</f>
        <v>74</v>
      </c>
      <c r="C81" s="5" t="str" cm="1">
        <f t="array" ref="C81">INDEX('3_TrainWindows'!C:C, A81+1)</f>
        <v>1954-03</v>
      </c>
      <c r="D81" s="5" t="str" cm="1">
        <f t="array" ref="D81">INDEX('3_TrainWindows'!D:D, A81+1)</f>
        <v>1955-02</v>
      </c>
      <c r="E81" s="4">
        <f>SUMPRODUCT($B$16:$M$16,'3_TrainWindows'!$E64:$P64)</f>
        <v>-0.1529350079122711</v>
      </c>
      <c r="F81" s="4">
        <f>E81/($O$16 * '3_TrainWindows'!R64 + $B$9)</f>
        <v>-3.2523500094375365E-2</v>
      </c>
      <c r="G81" s="4">
        <f t="shared" si="2"/>
        <v>-0.16261750047187681</v>
      </c>
      <c r="H81" s="4">
        <f t="shared" si="3"/>
        <v>6.1738117295475608E-3</v>
      </c>
      <c r="I81" s="5">
        <f t="shared" si="4"/>
        <v>2.010206655097445E-4</v>
      </c>
      <c r="J81" s="4" cm="1">
        <f t="array" ref="J81">INDEX('3_TrainWindows'!Q:Q, A81+1)</f>
        <v>0.24288961213171645</v>
      </c>
      <c r="K81" s="4">
        <f>SUMPRODUCT($B$16:$M$16,'3_TrainWindows'!$E64:$P64)</f>
        <v>-0.1529350079122711</v>
      </c>
    </row>
    <row r="82" spans="1:11">
      <c r="A82" s="5">
        <f t="shared" si="1"/>
        <v>64</v>
      </c>
      <c r="B82" s="5" cm="1">
        <f t="array" ref="B82">INDEX('3_TrainWindows'!B:B, A82+1)</f>
        <v>75</v>
      </c>
      <c r="C82" s="5" t="str" cm="1">
        <f t="array" ref="C82">INDEX('3_TrainWindows'!C:C, A82+1)</f>
        <v>1954-04</v>
      </c>
      <c r="D82" s="5" t="str" cm="1">
        <f t="array" ref="D82">INDEX('3_TrainWindows'!D:D, A82+1)</f>
        <v>1955-03</v>
      </c>
      <c r="E82" s="4">
        <f>SUMPRODUCT($B$16:$M$16,'3_TrainWindows'!$E65:$P65)</f>
        <v>0.86893755569724629</v>
      </c>
      <c r="F82" s="4">
        <f>E82/($O$16 * '3_TrainWindows'!R65 + $B$9)</f>
        <v>0.17898843971765971</v>
      </c>
      <c r="G82" s="4">
        <f t="shared" si="2"/>
        <v>0.89494219858829849</v>
      </c>
      <c r="H82" s="4">
        <f t="shared" si="3"/>
        <v>1.7776478139901269E-2</v>
      </c>
      <c r="I82" s="5">
        <f t="shared" si="4"/>
        <v>5.7880603145056596E-4</v>
      </c>
      <c r="J82" s="4" cm="1">
        <f t="array" ref="J82">INDEX('3_TrainWindows'!Q:Q, A82+1)</f>
        <v>0.26088753074386811</v>
      </c>
      <c r="K82" s="4">
        <f>SUMPRODUCT($B$16:$M$16,'3_TrainWindows'!$E65:$P65)</f>
        <v>0.86893755569724629</v>
      </c>
    </row>
    <row r="83" spans="1:11">
      <c r="A83" s="5">
        <f t="shared" si="1"/>
        <v>65</v>
      </c>
      <c r="B83" s="5" cm="1">
        <f t="array" ref="B83">INDEX('3_TrainWindows'!B:B, A83+1)</f>
        <v>76</v>
      </c>
      <c r="C83" s="5" t="str" cm="1">
        <f t="array" ref="C83">INDEX('3_TrainWindows'!C:C, A83+1)</f>
        <v>1954-05</v>
      </c>
      <c r="D83" s="5" t="str" cm="1">
        <f t="array" ref="D83">INDEX('3_TrainWindows'!D:D, A83+1)</f>
        <v>1955-04</v>
      </c>
      <c r="E83" s="4">
        <f>SUMPRODUCT($B$16:$M$16,'3_TrainWindows'!$E66:$P66)</f>
        <v>2.1768319582069404</v>
      </c>
      <c r="F83" s="4">
        <f>E83/($O$16 * '3_TrainWindows'!R66 + $B$9)</f>
        <v>0.43719146006477</v>
      </c>
      <c r="G83" s="4">
        <f t="shared" si="2"/>
        <v>2.1859573003238499</v>
      </c>
      <c r="H83" s="4">
        <f t="shared" si="3"/>
        <v>6.4643737471160423E-2</v>
      </c>
      <c r="I83" s="5">
        <f t="shared" ref="I83:I114" si="5">H83/$H$140</f>
        <v>2.1048142860103343E-3</v>
      </c>
      <c r="J83" s="4" cm="1">
        <f t="array" ref="J83">INDEX('3_TrainWindows'!Q:Q, A83+1)</f>
        <v>0.26983637181387321</v>
      </c>
      <c r="K83" s="4">
        <f>SUMPRODUCT($B$16:$M$16,'3_TrainWindows'!$E66:$P66)</f>
        <v>2.1768319582069404</v>
      </c>
    </row>
    <row r="84" spans="1:11">
      <c r="A84" s="5">
        <f t="shared" ref="A84:A138" si="6">ROW()-18</f>
        <v>66</v>
      </c>
      <c r="B84" s="5" cm="1">
        <f t="array" ref="B84">INDEX('3_TrainWindows'!B:B, A84+1)</f>
        <v>77</v>
      </c>
      <c r="C84" s="5" t="str" cm="1">
        <f t="array" ref="C84">INDEX('3_TrainWindows'!C:C, A84+1)</f>
        <v>1954-06</v>
      </c>
      <c r="D84" s="5" t="str" cm="1">
        <f t="array" ref="D84">INDEX('3_TrainWindows'!D:D, A84+1)</f>
        <v>1955-05</v>
      </c>
      <c r="E84" s="4">
        <f>SUMPRODUCT($B$16:$M$16,'3_TrainWindows'!$E67:$P67)</f>
        <v>2.979282853934575</v>
      </c>
      <c r="F84" s="4">
        <f>E84/($O$16 * '3_TrainWindows'!R67 + $B$9)</f>
        <v>0.5779027892209847</v>
      </c>
      <c r="G84" s="4">
        <f t="shared" ref="G84:G138" si="7">F84/$B$7</f>
        <v>2.8895139461049233</v>
      </c>
      <c r="H84" s="4">
        <f t="shared" ref="H84:H138" si="8">EXP(G84-G$140)</f>
        <v>0.13064031738362847</v>
      </c>
      <c r="I84" s="5">
        <f t="shared" si="5"/>
        <v>4.2536774189558535E-3</v>
      </c>
      <c r="J84" s="4" cm="1">
        <f t="array" ref="J84">INDEX('3_TrainWindows'!Q:Q, A84+1)</f>
        <v>0.64160309263790005</v>
      </c>
      <c r="K84" s="4">
        <f>SUMPRODUCT($B$16:$M$16,'3_TrainWindows'!$E67:$P67)</f>
        <v>2.979282853934575</v>
      </c>
    </row>
    <row r="85" spans="1:11">
      <c r="A85" s="5">
        <f t="shared" si="6"/>
        <v>67</v>
      </c>
      <c r="B85" s="5" cm="1">
        <f t="array" ref="B85">INDEX('3_TrainWindows'!B:B, A85+1)</f>
        <v>78</v>
      </c>
      <c r="C85" s="5" t="str" cm="1">
        <f t="array" ref="C85">INDEX('3_TrainWindows'!C:C, A85+1)</f>
        <v>1954-07</v>
      </c>
      <c r="D85" s="5" t="str" cm="1">
        <f t="array" ref="D85">INDEX('3_TrainWindows'!D:D, A85+1)</f>
        <v>1955-06</v>
      </c>
      <c r="E85" s="4">
        <f>SUMPRODUCT($B$16:$M$16,'3_TrainWindows'!$E68:$P68)</f>
        <v>3.8519656712231876</v>
      </c>
      <c r="F85" s="4">
        <f>E85/($O$16 * '3_TrainWindows'!R68 + $B$9)</f>
        <v>0.63943137071837886</v>
      </c>
      <c r="G85" s="4">
        <f t="shared" si="7"/>
        <v>3.1971568535918942</v>
      </c>
      <c r="H85" s="4">
        <f t="shared" si="8"/>
        <v>0.17769894276593687</v>
      </c>
      <c r="I85" s="5">
        <f t="shared" si="5"/>
        <v>5.7859165941563954E-3</v>
      </c>
      <c r="J85" s="4" cm="1">
        <f t="array" ref="J85">INDEX('3_TrainWindows'!Q:Q, A85+1)</f>
        <v>0.99029107369673663</v>
      </c>
      <c r="K85" s="4">
        <f>SUMPRODUCT($B$16:$M$16,'3_TrainWindows'!$E68:$P68)</f>
        <v>3.8519656712231876</v>
      </c>
    </row>
    <row r="86" spans="1:11">
      <c r="A86" s="5">
        <f t="shared" si="6"/>
        <v>68</v>
      </c>
      <c r="B86" s="5" cm="1">
        <f t="array" ref="B86">INDEX('3_TrainWindows'!B:B, A86+1)</f>
        <v>79</v>
      </c>
      <c r="C86" s="5" t="str" cm="1">
        <f t="array" ref="C86">INDEX('3_TrainWindows'!C:C, A86+1)</f>
        <v>1954-08</v>
      </c>
      <c r="D86" s="5" t="str" cm="1">
        <f t="array" ref="D86">INDEX('3_TrainWindows'!D:D, A86+1)</f>
        <v>1955-07</v>
      </c>
      <c r="E86" s="4">
        <f>SUMPRODUCT($B$16:$M$16,'3_TrainWindows'!$E69:$P69)</f>
        <v>4.3753755291930592</v>
      </c>
      <c r="F86" s="4">
        <f>E86/($O$16 * '3_TrainWindows'!R69 + $B$9)</f>
        <v>0.59204033754479934</v>
      </c>
      <c r="G86" s="4">
        <f t="shared" si="7"/>
        <v>2.9602016877239965</v>
      </c>
      <c r="H86" s="4">
        <f t="shared" si="8"/>
        <v>0.14020920374931178</v>
      </c>
      <c r="I86" s="5">
        <f t="shared" si="5"/>
        <v>4.5652424600812237E-3</v>
      </c>
      <c r="J86" s="4" cm="1">
        <f t="array" ref="J86">INDEX('3_TrainWindows'!Q:Q, A86+1)</f>
        <v>0.87494118934723042</v>
      </c>
      <c r="K86" s="4">
        <f>SUMPRODUCT($B$16:$M$16,'3_TrainWindows'!$E69:$P69)</f>
        <v>4.3753755291930592</v>
      </c>
    </row>
    <row r="87" spans="1:11">
      <c r="A87" s="5">
        <f t="shared" si="6"/>
        <v>69</v>
      </c>
      <c r="B87" s="5" cm="1">
        <f t="array" ref="B87">INDEX('3_TrainWindows'!B:B, A87+1)</f>
        <v>80</v>
      </c>
      <c r="C87" s="5" t="str" cm="1">
        <f t="array" ref="C87">INDEX('3_TrainWindows'!C:C, A87+1)</f>
        <v>1954-09</v>
      </c>
      <c r="D87" s="5" t="str" cm="1">
        <f t="array" ref="D87">INDEX('3_TrainWindows'!D:D, A87+1)</f>
        <v>1955-08</v>
      </c>
      <c r="E87" s="4">
        <f>SUMPRODUCT($B$16:$M$16,'3_TrainWindows'!$E70:$P70)</f>
        <v>4.203236593429116</v>
      </c>
      <c r="F87" s="4">
        <f>E87/($O$16 * '3_TrainWindows'!R70 + $B$9)</f>
        <v>0.50536350493943827</v>
      </c>
      <c r="G87" s="4">
        <f t="shared" si="7"/>
        <v>2.5268175246971913</v>
      </c>
      <c r="H87" s="4">
        <f t="shared" si="8"/>
        <v>9.0899223310108052E-2</v>
      </c>
      <c r="I87" s="5">
        <f t="shared" si="5"/>
        <v>2.9596986698938238E-3</v>
      </c>
      <c r="J87" s="4" cm="1">
        <f t="array" ref="J87">INDEX('3_TrainWindows'!Q:Q, A87+1)</f>
        <v>0.61852435287270979</v>
      </c>
      <c r="K87" s="4">
        <f>SUMPRODUCT($B$16:$M$16,'3_TrainWindows'!$E70:$P70)</f>
        <v>4.203236593429116</v>
      </c>
    </row>
    <row r="88" spans="1:11">
      <c r="A88" s="5">
        <f t="shared" si="6"/>
        <v>70</v>
      </c>
      <c r="B88" s="5" cm="1">
        <f t="array" ref="B88">INDEX('3_TrainWindows'!B:B, A88+1)</f>
        <v>81</v>
      </c>
      <c r="C88" s="5" t="str" cm="1">
        <f t="array" ref="C88">INDEX('3_TrainWindows'!C:C, A88+1)</f>
        <v>1954-10</v>
      </c>
      <c r="D88" s="5" t="str" cm="1">
        <f t="array" ref="D88">INDEX('3_TrainWindows'!D:D, A88+1)</f>
        <v>1955-09</v>
      </c>
      <c r="E88" s="4">
        <f>SUMPRODUCT($B$16:$M$16,'3_TrainWindows'!$E71:$P71)</f>
        <v>4.3500715012984985</v>
      </c>
      <c r="F88" s="4">
        <f>E88/($O$16 * '3_TrainWindows'!R71 + $B$9)</f>
        <v>0.49070467921133987</v>
      </c>
      <c r="G88" s="4">
        <f t="shared" si="7"/>
        <v>2.4535233960566991</v>
      </c>
      <c r="H88" s="4">
        <f t="shared" si="8"/>
        <v>8.4475143224343768E-2</v>
      </c>
      <c r="I88" s="5">
        <f t="shared" si="5"/>
        <v>2.7505292117537597E-3</v>
      </c>
      <c r="J88" s="4" cm="1">
        <f t="array" ref="J88">INDEX('3_TrainWindows'!Q:Q, A88+1)</f>
        <v>0.30530333308286356</v>
      </c>
      <c r="K88" s="4">
        <f>SUMPRODUCT($B$16:$M$16,'3_TrainWindows'!$E71:$P71)</f>
        <v>4.3500715012984985</v>
      </c>
    </row>
    <row r="89" spans="1:11">
      <c r="A89" s="5">
        <f t="shared" si="6"/>
        <v>71</v>
      </c>
      <c r="B89" s="5" cm="1">
        <f t="array" ref="B89">INDEX('3_TrainWindows'!B:B, A89+1)</f>
        <v>82</v>
      </c>
      <c r="C89" s="5" t="str" cm="1">
        <f t="array" ref="C89">INDEX('3_TrainWindows'!C:C, A89+1)</f>
        <v>1954-11</v>
      </c>
      <c r="D89" s="5" t="str" cm="1">
        <f t="array" ref="D89">INDEX('3_TrainWindows'!D:D, A89+1)</f>
        <v>1955-10</v>
      </c>
      <c r="E89" s="4">
        <f>SUMPRODUCT($B$16:$M$16,'3_TrainWindows'!$E72:$P72)</f>
        <v>4.5054182585522167</v>
      </c>
      <c r="F89" s="4">
        <f>E89/($O$16 * '3_TrainWindows'!R72 + $B$9)</f>
        <v>0.50173424864808325</v>
      </c>
      <c r="G89" s="4">
        <f t="shared" si="7"/>
        <v>2.5086712432404159</v>
      </c>
      <c r="H89" s="4">
        <f t="shared" si="8"/>
        <v>8.9264616293613E-2</v>
      </c>
      <c r="I89" s="5">
        <f t="shared" si="5"/>
        <v>2.9064755065229485E-3</v>
      </c>
      <c r="J89" s="4" cm="1">
        <f t="array" ref="J89">INDEX('3_TrainWindows'!Q:Q, A89+1)</f>
        <v>-4.455851507203791E-2</v>
      </c>
      <c r="K89" s="4">
        <f>SUMPRODUCT($B$16:$M$16,'3_TrainWindows'!$E72:$P72)</f>
        <v>4.5054182585522167</v>
      </c>
    </row>
    <row r="90" spans="1:11">
      <c r="A90" s="5">
        <f t="shared" si="6"/>
        <v>72</v>
      </c>
      <c r="B90" s="5" cm="1">
        <f t="array" ref="B90">INDEX('3_TrainWindows'!B:B, A90+1)</f>
        <v>83</v>
      </c>
      <c r="C90" s="5" t="str" cm="1">
        <f t="array" ref="C90">INDEX('3_TrainWindows'!C:C, A90+1)</f>
        <v>1954-12</v>
      </c>
      <c r="D90" s="5" t="str" cm="1">
        <f t="array" ref="D90">INDEX('3_TrainWindows'!D:D, A90+1)</f>
        <v>1955-11</v>
      </c>
      <c r="E90" s="4">
        <f>SUMPRODUCT($B$16:$M$16,'3_TrainWindows'!$E73:$P73)</f>
        <v>4.4770119804182489</v>
      </c>
      <c r="F90" s="4">
        <f>E90/($O$16 * '3_TrainWindows'!R73 + $B$9)</f>
        <v>0.51341275976417289</v>
      </c>
      <c r="G90" s="4">
        <f t="shared" si="7"/>
        <v>2.5670637988208642</v>
      </c>
      <c r="H90" s="4">
        <f t="shared" si="8"/>
        <v>9.4632193577894611E-2</v>
      </c>
      <c r="I90" s="5">
        <f t="shared" si="5"/>
        <v>3.0812450014683912E-3</v>
      </c>
      <c r="J90" s="4" cm="1">
        <f t="array" ref="J90">INDEX('3_TrainWindows'!Q:Q, A90+1)</f>
        <v>0.3402562622933713</v>
      </c>
      <c r="K90" s="4">
        <f>SUMPRODUCT($B$16:$M$16,'3_TrainWindows'!$E73:$P73)</f>
        <v>4.4770119804182489</v>
      </c>
    </row>
    <row r="91" spans="1:11">
      <c r="A91" s="5">
        <f t="shared" si="6"/>
        <v>73</v>
      </c>
      <c r="B91" s="5" cm="1">
        <f t="array" ref="B91">INDEX('3_TrainWindows'!B:B, A91+1)</f>
        <v>84</v>
      </c>
      <c r="C91" s="5" t="str" cm="1">
        <f t="array" ref="C91">INDEX('3_TrainWindows'!C:C, A91+1)</f>
        <v>1955-01</v>
      </c>
      <c r="D91" s="5" t="str" cm="1">
        <f t="array" ref="D91">INDEX('3_TrainWindows'!D:D, A91+1)</f>
        <v>1955-12</v>
      </c>
      <c r="E91" s="4">
        <f>SUMPRODUCT($B$16:$M$16,'3_TrainWindows'!$E74:$P74)</f>
        <v>4.9200142371777682</v>
      </c>
      <c r="F91" s="4">
        <f>E91/($O$16 * '3_TrainWindows'!R74 + $B$9)</f>
        <v>0.55464171477194746</v>
      </c>
      <c r="G91" s="4">
        <f t="shared" si="7"/>
        <v>2.773208573859737</v>
      </c>
      <c r="H91" s="4">
        <f t="shared" si="8"/>
        <v>0.1162964466638121</v>
      </c>
      <c r="I91" s="5">
        <f t="shared" si="5"/>
        <v>3.7866378388074426E-3</v>
      </c>
      <c r="J91" s="4" cm="1">
        <f t="array" ref="J91">INDEX('3_TrainWindows'!Q:Q, A91+1)</f>
        <v>0.39175380400169618</v>
      </c>
      <c r="K91" s="4">
        <f>SUMPRODUCT($B$16:$M$16,'3_TrainWindows'!$E74:$P74)</f>
        <v>4.9200142371777682</v>
      </c>
    </row>
    <row r="92" spans="1:11">
      <c r="A92" s="5">
        <f t="shared" si="6"/>
        <v>74</v>
      </c>
      <c r="B92" s="5" cm="1">
        <f t="array" ref="B92">INDEX('3_TrainWindows'!B:B, A92+1)</f>
        <v>85</v>
      </c>
      <c r="C92" s="5" t="str" cm="1">
        <f t="array" ref="C92">INDEX('3_TrainWindows'!C:C, A92+1)</f>
        <v>1955-02</v>
      </c>
      <c r="D92" s="5" t="str" cm="1">
        <f t="array" ref="D92">INDEX('3_TrainWindows'!D:D, A92+1)</f>
        <v>1956-01</v>
      </c>
      <c r="E92" s="4">
        <f>SUMPRODUCT($B$16:$M$16,'3_TrainWindows'!$E75:$P75)</f>
        <v>5.6550648811504498</v>
      </c>
      <c r="F92" s="4">
        <f>E92/($O$16 * '3_TrainWindows'!R75 + $B$9)</f>
        <v>0.62159080048360693</v>
      </c>
      <c r="G92" s="4">
        <f t="shared" si="7"/>
        <v>3.1079540024180345</v>
      </c>
      <c r="H92" s="4">
        <f t="shared" si="8"/>
        <v>0.16253411763747053</v>
      </c>
      <c r="I92" s="5">
        <f t="shared" si="5"/>
        <v>5.2921465582038089E-3</v>
      </c>
      <c r="J92" s="4" cm="1">
        <f t="array" ref="J92">INDEX('3_TrainWindows'!Q:Q, A92+1)</f>
        <v>0.33156540639744297</v>
      </c>
      <c r="K92" s="4">
        <f>SUMPRODUCT($B$16:$M$16,'3_TrainWindows'!$E75:$P75)</f>
        <v>5.6550648811504498</v>
      </c>
    </row>
    <row r="93" spans="1:11">
      <c r="A93" s="5">
        <f t="shared" si="6"/>
        <v>75</v>
      </c>
      <c r="B93" s="5" cm="1">
        <f t="array" ref="B93">INDEX('3_TrainWindows'!B:B, A93+1)</f>
        <v>86</v>
      </c>
      <c r="C93" s="5" t="str" cm="1">
        <f t="array" ref="C93">INDEX('3_TrainWindows'!C:C, A93+1)</f>
        <v>1955-03</v>
      </c>
      <c r="D93" s="5" t="str" cm="1">
        <f t="array" ref="D93">INDEX('3_TrainWindows'!D:D, A93+1)</f>
        <v>1956-02</v>
      </c>
      <c r="E93" s="4">
        <f>SUMPRODUCT($B$16:$M$16,'3_TrainWindows'!$E76:$P76)</f>
        <v>6.6523538721941922</v>
      </c>
      <c r="F93" s="4">
        <f>E93/($O$16 * '3_TrainWindows'!R76 + $B$9)</f>
        <v>0.71944625321158395</v>
      </c>
      <c r="G93" s="4">
        <f t="shared" si="7"/>
        <v>3.5972312660579195</v>
      </c>
      <c r="H93" s="4">
        <f t="shared" si="8"/>
        <v>0.26511539871958489</v>
      </c>
      <c r="I93" s="5">
        <f t="shared" si="5"/>
        <v>8.6322155942059765E-3</v>
      </c>
      <c r="J93" s="4" cm="1">
        <f t="array" ref="J93">INDEX('3_TrainWindows'!Q:Q, A93+1)</f>
        <v>0.65686713030831467</v>
      </c>
      <c r="K93" s="4">
        <f>SUMPRODUCT($B$16:$M$16,'3_TrainWindows'!$E76:$P76)</f>
        <v>6.6523538721941922</v>
      </c>
    </row>
    <row r="94" spans="1:11">
      <c r="A94" s="5">
        <f t="shared" si="6"/>
        <v>76</v>
      </c>
      <c r="B94" s="5" cm="1">
        <f t="array" ref="B94">INDEX('3_TrainWindows'!B:B, A94+1)</f>
        <v>87</v>
      </c>
      <c r="C94" s="5" t="str" cm="1">
        <f t="array" ref="C94">INDEX('3_TrainWindows'!C:C, A94+1)</f>
        <v>1955-04</v>
      </c>
      <c r="D94" s="5" t="str" cm="1">
        <f t="array" ref="D94">INDEX('3_TrainWindows'!D:D, A94+1)</f>
        <v>1956-03</v>
      </c>
      <c r="E94" s="4">
        <f>SUMPRODUCT($B$16:$M$16,'3_TrainWindows'!$E77:$P77)</f>
        <v>7.8787358313011984</v>
      </c>
      <c r="F94" s="4">
        <f>E94/($O$16 * '3_TrainWindows'!R77 + $B$9)</f>
        <v>0.80662754640339718</v>
      </c>
      <c r="G94" s="4">
        <f t="shared" si="7"/>
        <v>4.0331377320169857</v>
      </c>
      <c r="H94" s="4">
        <f t="shared" si="8"/>
        <v>0.40996494827170377</v>
      </c>
      <c r="I94" s="5">
        <f t="shared" si="5"/>
        <v>1.3348548732516221E-2</v>
      </c>
      <c r="J94" s="4" cm="1">
        <f t="array" ref="J94">INDEX('3_TrainWindows'!Q:Q, A94+1)</f>
        <v>0.62624183114229914</v>
      </c>
      <c r="K94" s="4">
        <f>SUMPRODUCT($B$16:$M$16,'3_TrainWindows'!$E77:$P77)</f>
        <v>7.8787358313011984</v>
      </c>
    </row>
    <row r="95" spans="1:11">
      <c r="A95" s="5">
        <f t="shared" si="6"/>
        <v>77</v>
      </c>
      <c r="B95" s="5" cm="1">
        <f t="array" ref="B95">INDEX('3_TrainWindows'!B:B, A95+1)</f>
        <v>88</v>
      </c>
      <c r="C95" s="5" t="str" cm="1">
        <f t="array" ref="C95">INDEX('3_TrainWindows'!C:C, A95+1)</f>
        <v>1955-05</v>
      </c>
      <c r="D95" s="5" t="str" cm="1">
        <f t="array" ref="D95">INDEX('3_TrainWindows'!D:D, A95+1)</f>
        <v>1956-04</v>
      </c>
      <c r="E95" s="4">
        <f>SUMPRODUCT($B$16:$M$16,'3_TrainWindows'!$E78:$P78)</f>
        <v>9.1544168556708438</v>
      </c>
      <c r="F95" s="4">
        <f>E95/($O$16 * '3_TrainWindows'!R78 + $B$9)</f>
        <v>0.897559527776148</v>
      </c>
      <c r="G95" s="4">
        <f t="shared" si="7"/>
        <v>4.4877976388807399</v>
      </c>
      <c r="H95" s="4">
        <f t="shared" si="8"/>
        <v>0.64595611684015652</v>
      </c>
      <c r="I95" s="5">
        <f t="shared" si="5"/>
        <v>2.1032472998138294E-2</v>
      </c>
      <c r="J95" s="4" cm="1">
        <f t="array" ref="J95">INDEX('3_TrainWindows'!Q:Q, A95+1)</f>
        <v>0.66446307328449994</v>
      </c>
      <c r="K95" s="4">
        <f>SUMPRODUCT($B$16:$M$16,'3_TrainWindows'!$E78:$P78)</f>
        <v>9.1544168556708438</v>
      </c>
    </row>
    <row r="96" spans="1:11">
      <c r="A96" s="5">
        <f t="shared" si="6"/>
        <v>78</v>
      </c>
      <c r="B96" s="5" cm="1">
        <f t="array" ref="B96">INDEX('3_TrainWindows'!B:B, A96+1)</f>
        <v>89</v>
      </c>
      <c r="C96" s="5" t="str" cm="1">
        <f t="array" ref="C96">INDEX('3_TrainWindows'!C:C, A96+1)</f>
        <v>1955-06</v>
      </c>
      <c r="D96" s="5" t="str" cm="1">
        <f t="array" ref="D96">INDEX('3_TrainWindows'!D:D, A96+1)</f>
        <v>1956-05</v>
      </c>
      <c r="E96" s="4">
        <f>SUMPRODUCT($B$16:$M$16,'3_TrainWindows'!$E79:$P79)</f>
        <v>10.019506561651337</v>
      </c>
      <c r="F96" s="4">
        <f>E96/($O$16 * '3_TrainWindows'!R79 + $B$9)</f>
        <v>0.93911214882765981</v>
      </c>
      <c r="G96" s="4">
        <f t="shared" si="7"/>
        <v>4.6955607441382989</v>
      </c>
      <c r="H96" s="4">
        <f t="shared" si="8"/>
        <v>0.79512129563719336</v>
      </c>
      <c r="I96" s="5">
        <f t="shared" si="5"/>
        <v>2.5889323972254054E-2</v>
      </c>
      <c r="J96" s="4" cm="1">
        <f t="array" ref="J96">INDEX('3_TrainWindows'!Q:Q, A96+1)</f>
        <v>1.055653066084856</v>
      </c>
      <c r="K96" s="4">
        <f>SUMPRODUCT($B$16:$M$16,'3_TrainWindows'!$E79:$P79)</f>
        <v>10.019506561651337</v>
      </c>
    </row>
    <row r="97" spans="1:11">
      <c r="A97" s="5">
        <f t="shared" si="6"/>
        <v>79</v>
      </c>
      <c r="B97" s="5" cm="1">
        <f t="array" ref="B97">INDEX('3_TrainWindows'!B:B, A97+1)</f>
        <v>90</v>
      </c>
      <c r="C97" s="5" t="str" cm="1">
        <f t="array" ref="C97">INDEX('3_TrainWindows'!C:C, A97+1)</f>
        <v>1955-07</v>
      </c>
      <c r="D97" s="5" t="str" cm="1">
        <f t="array" ref="D97">INDEX('3_TrainWindows'!D:D, A97+1)</f>
        <v>1956-06</v>
      </c>
      <c r="E97" s="4">
        <f>SUMPRODUCT($B$16:$M$16,'3_TrainWindows'!$E80:$P80)</f>
        <v>10.96502108719292</v>
      </c>
      <c r="F97" s="4">
        <f>E97/($O$16 * '3_TrainWindows'!R80 + $B$9)</f>
        <v>0.95250605158677282</v>
      </c>
      <c r="G97" s="4">
        <f t="shared" si="7"/>
        <v>4.7625302579338635</v>
      </c>
      <c r="H97" s="4">
        <f t="shared" si="8"/>
        <v>0.8501936864515528</v>
      </c>
      <c r="I97" s="5">
        <f t="shared" si="5"/>
        <v>2.7682493109520014E-2</v>
      </c>
      <c r="J97" s="4" cm="1">
        <f t="array" ref="J97">INDEX('3_TrainWindows'!Q:Q, A97+1)</f>
        <v>1.2948749015272529</v>
      </c>
      <c r="K97" s="4">
        <f>SUMPRODUCT($B$16:$M$16,'3_TrainWindows'!$E80:$P80)</f>
        <v>10.96502108719292</v>
      </c>
    </row>
    <row r="98" spans="1:11">
      <c r="A98" s="5">
        <f t="shared" si="6"/>
        <v>80</v>
      </c>
      <c r="B98" s="5" cm="1">
        <f t="array" ref="B98">INDEX('3_TrainWindows'!B:B, A98+1)</f>
        <v>91</v>
      </c>
      <c r="C98" s="5" t="str" cm="1">
        <f t="array" ref="C98">INDEX('3_TrainWindows'!C:C, A98+1)</f>
        <v>1955-08</v>
      </c>
      <c r="D98" s="5" t="str" cm="1">
        <f t="array" ref="D98">INDEX('3_TrainWindows'!D:D, A98+1)</f>
        <v>1956-07</v>
      </c>
      <c r="E98" s="4">
        <f>SUMPRODUCT($B$16:$M$16,'3_TrainWindows'!$E81:$P81)</f>
        <v>11.189221816702599</v>
      </c>
      <c r="F98" s="4">
        <f>E98/($O$16 * '3_TrainWindows'!R81 + $B$9)</f>
        <v>0.91046908945406635</v>
      </c>
      <c r="G98" s="4">
        <f t="shared" si="7"/>
        <v>4.5523454472703317</v>
      </c>
      <c r="H98" s="4">
        <f t="shared" si="8"/>
        <v>0.68902625709361687</v>
      </c>
      <c r="I98" s="5">
        <f t="shared" si="5"/>
        <v>2.2434846221784217E-2</v>
      </c>
      <c r="J98" s="4" cm="1">
        <f t="array" ref="J98">INDEX('3_TrainWindows'!Q:Q, A98+1)</f>
        <v>1.2477005876502856</v>
      </c>
      <c r="K98" s="4">
        <f>SUMPRODUCT($B$16:$M$16,'3_TrainWindows'!$E81:$P81)</f>
        <v>11.189221816702599</v>
      </c>
    </row>
    <row r="99" spans="1:11">
      <c r="A99" s="5">
        <f t="shared" si="6"/>
        <v>81</v>
      </c>
      <c r="B99" s="5" cm="1">
        <f t="array" ref="B99">INDEX('3_TrainWindows'!B:B, A99+1)</f>
        <v>92</v>
      </c>
      <c r="C99" s="5" t="str" cm="1">
        <f t="array" ref="C99">INDEX('3_TrainWindows'!C:C, A99+1)</f>
        <v>1955-09</v>
      </c>
      <c r="D99" s="5" t="str" cm="1">
        <f t="array" ref="D99">INDEX('3_TrainWindows'!D:D, A99+1)</f>
        <v>1956-08</v>
      </c>
      <c r="E99" s="4">
        <f>SUMPRODUCT($B$16:$M$16,'3_TrainWindows'!$E82:$P82)</f>
        <v>11.015155526512501</v>
      </c>
      <c r="F99" s="4">
        <f>E99/($O$16 * '3_TrainWindows'!R82 + $B$9)</f>
        <v>0.83971258080404554</v>
      </c>
      <c r="G99" s="4">
        <f t="shared" si="7"/>
        <v>4.1985629040202275</v>
      </c>
      <c r="H99" s="4">
        <f t="shared" si="8"/>
        <v>0.48371545745984185</v>
      </c>
      <c r="I99" s="5">
        <f t="shared" si="5"/>
        <v>1.574988150522267E-2</v>
      </c>
      <c r="J99" s="4" cm="1">
        <f t="array" ref="J99">INDEX('3_TrainWindows'!Q:Q, A99+1)</f>
        <v>0.92991131610656719</v>
      </c>
      <c r="K99" s="4">
        <f>SUMPRODUCT($B$16:$M$16,'3_TrainWindows'!$E82:$P82)</f>
        <v>11.015155526512501</v>
      </c>
    </row>
    <row r="100" spans="1:11">
      <c r="A100" s="5">
        <f t="shared" si="6"/>
        <v>82</v>
      </c>
      <c r="B100" s="5" cm="1">
        <f t="array" ref="B100">INDEX('3_TrainWindows'!B:B, A100+1)</f>
        <v>93</v>
      </c>
      <c r="C100" s="5" t="str" cm="1">
        <f t="array" ref="C100">INDEX('3_TrainWindows'!C:C, A100+1)</f>
        <v>1955-10</v>
      </c>
      <c r="D100" s="5" t="str" cm="1">
        <f t="array" ref="D100">INDEX('3_TrainWindows'!D:D, A100+1)</f>
        <v>1956-09</v>
      </c>
      <c r="E100" s="4">
        <f>SUMPRODUCT($B$16:$M$16,'3_TrainWindows'!$E83:$P83)</f>
        <v>10.942731049376507</v>
      </c>
      <c r="F100" s="4">
        <f>E100/($O$16 * '3_TrainWindows'!R83 + $B$9)</f>
        <v>0.80474422901965215</v>
      </c>
      <c r="G100" s="4">
        <f t="shared" si="7"/>
        <v>4.0237211450982606</v>
      </c>
      <c r="H100" s="4">
        <f t="shared" si="8"/>
        <v>0.40612259701238274</v>
      </c>
      <c r="I100" s="5">
        <f t="shared" si="5"/>
        <v>1.3223440931840297E-2</v>
      </c>
      <c r="J100" s="4" cm="1">
        <f t="array" ref="J100">INDEX('3_TrainWindows'!Q:Q, A100+1)</f>
        <v>0.57169356294778828</v>
      </c>
      <c r="K100" s="4">
        <f>SUMPRODUCT($B$16:$M$16,'3_TrainWindows'!$E83:$P83)</f>
        <v>10.942731049376507</v>
      </c>
    </row>
    <row r="101" spans="1:11">
      <c r="A101" s="5">
        <f t="shared" si="6"/>
        <v>83</v>
      </c>
      <c r="B101" s="5" cm="1">
        <f t="array" ref="B101">INDEX('3_TrainWindows'!B:B, A101+1)</f>
        <v>94</v>
      </c>
      <c r="C101" s="5" t="str" cm="1">
        <f t="array" ref="C101">INDEX('3_TrainWindows'!C:C, A101+1)</f>
        <v>1955-11</v>
      </c>
      <c r="D101" s="5" t="str" cm="1">
        <f t="array" ref="D101">INDEX('3_TrainWindows'!D:D, A101+1)</f>
        <v>1956-10</v>
      </c>
      <c r="E101" s="4">
        <f>SUMPRODUCT($B$16:$M$16,'3_TrainWindows'!$E84:$P84)</f>
        <v>10.828902900909622</v>
      </c>
      <c r="F101" s="4">
        <f>E101/($O$16 * '3_TrainWindows'!R84 + $B$9)</f>
        <v>0.78332033452938732</v>
      </c>
      <c r="G101" s="4">
        <f t="shared" si="7"/>
        <v>3.9166016726469364</v>
      </c>
      <c r="H101" s="4">
        <f t="shared" si="8"/>
        <v>0.3648679855203763</v>
      </c>
      <c r="I101" s="5">
        <f t="shared" si="5"/>
        <v>1.1880181723306443E-2</v>
      </c>
      <c r="J101" s="4" cm="1">
        <f t="array" ref="J101">INDEX('3_TrainWindows'!Q:Q, A101+1)</f>
        <v>0.27875213021662587</v>
      </c>
      <c r="K101" s="4">
        <f>SUMPRODUCT($B$16:$M$16,'3_TrainWindows'!$E84:$P84)</f>
        <v>10.828902900909622</v>
      </c>
    </row>
    <row r="102" spans="1:11">
      <c r="A102" s="5">
        <f t="shared" si="6"/>
        <v>84</v>
      </c>
      <c r="B102" s="5" cm="1">
        <f t="array" ref="B102">INDEX('3_TrainWindows'!B:B, A102+1)</f>
        <v>95</v>
      </c>
      <c r="C102" s="5" t="str" cm="1">
        <f t="array" ref="C102">INDEX('3_TrainWindows'!C:C, A102+1)</f>
        <v>1955-12</v>
      </c>
      <c r="D102" s="5" t="str" cm="1">
        <f t="array" ref="D102">INDEX('3_TrainWindows'!D:D, A102+1)</f>
        <v>1956-11</v>
      </c>
      <c r="E102" s="4">
        <f>SUMPRODUCT($B$16:$M$16,'3_TrainWindows'!$E85:$P85)</f>
        <v>10.767447277099407</v>
      </c>
      <c r="F102" s="4">
        <f>E102/($O$16 * '3_TrainWindows'!R85 + $B$9)</f>
        <v>0.77480347114685066</v>
      </c>
      <c r="G102" s="4">
        <f t="shared" si="7"/>
        <v>3.874017355734253</v>
      </c>
      <c r="H102" s="4">
        <f t="shared" si="8"/>
        <v>0.34965651529574543</v>
      </c>
      <c r="I102" s="5">
        <f t="shared" si="5"/>
        <v>1.1384892912780786E-2</v>
      </c>
      <c r="J102" s="4" cm="1">
        <f t="array" ref="J102">INDEX('3_TrainWindows'!Q:Q, A102+1)</f>
        <v>0.57169356294778828</v>
      </c>
      <c r="K102" s="4">
        <f>SUMPRODUCT($B$16:$M$16,'3_TrainWindows'!$E85:$P85)</f>
        <v>10.767447277099407</v>
      </c>
    </row>
    <row r="103" spans="1:11">
      <c r="A103" s="5">
        <f t="shared" si="6"/>
        <v>85</v>
      </c>
      <c r="B103" s="5" cm="1">
        <f t="array" ref="B103">INDEX('3_TrainWindows'!B:B, A103+1)</f>
        <v>96</v>
      </c>
      <c r="C103" s="5" t="str" cm="1">
        <f t="array" ref="C103">INDEX('3_TrainWindows'!C:C, A103+1)</f>
        <v>1956-01</v>
      </c>
      <c r="D103" s="5" t="str" cm="1">
        <f t="array" ref="D103">INDEX('3_TrainWindows'!D:D, A103+1)</f>
        <v>1956-12</v>
      </c>
      <c r="E103" s="4">
        <f>SUMPRODUCT($B$16:$M$16,'3_TrainWindows'!$E86:$P86)</f>
        <v>10.896579532626671</v>
      </c>
      <c r="F103" s="4">
        <f>E103/($O$16 * '3_TrainWindows'!R86 + $B$9)</f>
        <v>0.77294299770958397</v>
      </c>
      <c r="G103" s="4">
        <f t="shared" si="7"/>
        <v>3.8647149885479197</v>
      </c>
      <c r="H103" s="4">
        <f t="shared" si="8"/>
        <v>0.34641896379429554</v>
      </c>
      <c r="I103" s="5">
        <f t="shared" si="5"/>
        <v>1.1279477525018188E-2</v>
      </c>
      <c r="J103" s="4" cm="1">
        <f t="array" ref="J103">INDEX('3_TrainWindows'!Q:Q, A103+1)</f>
        <v>0.64160309263790005</v>
      </c>
      <c r="K103" s="4">
        <f>SUMPRODUCT($B$16:$M$16,'3_TrainWindows'!$E86:$P86)</f>
        <v>10.896579532626671</v>
      </c>
    </row>
    <row r="104" spans="1:11">
      <c r="A104" s="5">
        <f t="shared" si="6"/>
        <v>86</v>
      </c>
      <c r="B104" s="5" cm="1">
        <f t="array" ref="B104">INDEX('3_TrainWindows'!B:B, A104+1)</f>
        <v>97</v>
      </c>
      <c r="C104" s="5" t="str" cm="1">
        <f t="array" ref="C104">INDEX('3_TrainWindows'!C:C, A104+1)</f>
        <v>1956-02</v>
      </c>
      <c r="D104" s="5" t="str" cm="1">
        <f t="array" ref="D104">INDEX('3_TrainWindows'!D:D, A104+1)</f>
        <v>1957-01</v>
      </c>
      <c r="E104" s="4">
        <f>SUMPRODUCT($B$16:$M$16,'3_TrainWindows'!$E87:$P87)</f>
        <v>11.402419915905151</v>
      </c>
      <c r="F104" s="4">
        <f>E104/($O$16 * '3_TrainWindows'!R87 + $B$9)</f>
        <v>0.7952036355874903</v>
      </c>
      <c r="G104" s="4">
        <f t="shared" si="7"/>
        <v>3.9760181779374513</v>
      </c>
      <c r="H104" s="4">
        <f t="shared" si="8"/>
        <v>0.38720416418086512</v>
      </c>
      <c r="I104" s="5">
        <f t="shared" si="5"/>
        <v>1.2607452604889522E-2</v>
      </c>
      <c r="J104" s="4" cm="1">
        <f t="array" ref="J104">INDEX('3_TrainWindows'!Q:Q, A104+1)</f>
        <v>0.53196103494259028</v>
      </c>
      <c r="K104" s="4">
        <f>SUMPRODUCT($B$16:$M$16,'3_TrainWindows'!$E87:$P87)</f>
        <v>11.402419915905151</v>
      </c>
    </row>
    <row r="105" spans="1:11">
      <c r="A105" s="5">
        <f t="shared" si="6"/>
        <v>87</v>
      </c>
      <c r="B105" s="5" cm="1">
        <f t="array" ref="B105">INDEX('3_TrainWindows'!B:B, A105+1)</f>
        <v>98</v>
      </c>
      <c r="C105" s="5" t="str" cm="1">
        <f t="array" ref="C105">INDEX('3_TrainWindows'!C:C, A105+1)</f>
        <v>1956-03</v>
      </c>
      <c r="D105" s="5" t="str" cm="1">
        <f t="array" ref="D105">INDEX('3_TrainWindows'!D:D, A105+1)</f>
        <v>1957-02</v>
      </c>
      <c r="E105" s="4">
        <f>SUMPRODUCT($B$16:$M$16,'3_TrainWindows'!$E88:$P88)</f>
        <v>12.132931929387659</v>
      </c>
      <c r="F105" s="4">
        <f>E105/($O$16 * '3_TrainWindows'!R88 + $B$9)</f>
        <v>0.83683531132782785</v>
      </c>
      <c r="G105" s="4">
        <f t="shared" si="7"/>
        <v>4.1841765566391391</v>
      </c>
      <c r="H105" s="4">
        <f t="shared" si="8"/>
        <v>0.47680637623872291</v>
      </c>
      <c r="I105" s="5">
        <f t="shared" si="5"/>
        <v>1.5524920303622831E-2</v>
      </c>
      <c r="J105" s="4" cm="1">
        <f t="array" ref="J105">INDEX('3_TrainWindows'!Q:Q, A105+1)</f>
        <v>0.93669531467618794</v>
      </c>
      <c r="K105" s="4">
        <f>SUMPRODUCT($B$16:$M$16,'3_TrainWindows'!$E88:$P88)</f>
        <v>12.132931929387659</v>
      </c>
    </row>
    <row r="106" spans="1:11">
      <c r="A106" s="5">
        <f t="shared" si="6"/>
        <v>88</v>
      </c>
      <c r="B106" s="5" cm="1">
        <f t="array" ref="B106">INDEX('3_TrainWindows'!B:B, A106+1)</f>
        <v>99</v>
      </c>
      <c r="C106" s="5" t="str" cm="1">
        <f t="array" ref="C106">INDEX('3_TrainWindows'!C:C, A106+1)</f>
        <v>1956-04</v>
      </c>
      <c r="D106" s="5" t="str" cm="1">
        <f t="array" ref="D106">INDEX('3_TrainWindows'!D:D, A106+1)</f>
        <v>1957-03</v>
      </c>
      <c r="E106" s="4">
        <f>SUMPRODUCT($B$16:$M$16,'3_TrainWindows'!$E89:$P89)</f>
        <v>13.231687100329827</v>
      </c>
      <c r="F106" s="4">
        <f>E106/($O$16 * '3_TrainWindows'!R89 + $B$9)</f>
        <v>0.88791487385809675</v>
      </c>
      <c r="G106" s="4">
        <f t="shared" si="7"/>
        <v>4.4395743692904839</v>
      </c>
      <c r="H106" s="4">
        <f t="shared" si="8"/>
        <v>0.61554515207245786</v>
      </c>
      <c r="I106" s="5">
        <f t="shared" si="5"/>
        <v>2.0042285307908195E-2</v>
      </c>
      <c r="J106" s="4" cm="1">
        <f t="array" ref="J106">INDEX('3_TrainWindows'!Q:Q, A106+1)</f>
        <v>0.88188136651431936</v>
      </c>
      <c r="K106" s="4">
        <f>SUMPRODUCT($B$16:$M$16,'3_TrainWindows'!$E89:$P89)</f>
        <v>13.231687100329827</v>
      </c>
    </row>
    <row r="107" spans="1:11">
      <c r="A107" s="5">
        <f t="shared" si="6"/>
        <v>89</v>
      </c>
      <c r="B107" s="5" cm="1">
        <f t="array" ref="B107">INDEX('3_TrainWindows'!B:B, A107+1)</f>
        <v>100</v>
      </c>
      <c r="C107" s="5" t="str" cm="1">
        <f t="array" ref="C107">INDEX('3_TrainWindows'!C:C, A107+1)</f>
        <v>1956-05</v>
      </c>
      <c r="D107" s="5" t="str" cm="1">
        <f t="array" ref="D107">INDEX('3_TrainWindows'!D:D, A107+1)</f>
        <v>1957-04</v>
      </c>
      <c r="E107" s="4">
        <f>SUMPRODUCT($B$16:$M$16,'3_TrainWindows'!$E90:$P90)</f>
        <v>14.348537172438064</v>
      </c>
      <c r="F107" s="4">
        <f>E107/($O$16 * '3_TrainWindows'!R90 + $B$9)</f>
        <v>0.94137322832980452</v>
      </c>
      <c r="G107" s="4">
        <f t="shared" si="7"/>
        <v>4.7068661416490221</v>
      </c>
      <c r="H107" s="4">
        <f t="shared" si="8"/>
        <v>0.80416146300984137</v>
      </c>
      <c r="I107" s="5">
        <f t="shared" si="5"/>
        <v>2.6183673806874353E-2</v>
      </c>
      <c r="J107" s="4" cm="1">
        <f t="array" ref="J107">INDEX('3_TrainWindows'!Q:Q, A107+1)</f>
        <v>0.92991131610656719</v>
      </c>
      <c r="K107" s="4">
        <f>SUMPRODUCT($B$16:$M$16,'3_TrainWindows'!$E90:$P90)</f>
        <v>14.348537172438064</v>
      </c>
    </row>
    <row r="108" spans="1:11">
      <c r="A108" s="5">
        <f t="shared" si="6"/>
        <v>90</v>
      </c>
      <c r="B108" s="5" cm="1">
        <f t="array" ref="B108">INDEX('3_TrainWindows'!B:B, A108+1)</f>
        <v>101</v>
      </c>
      <c r="C108" s="5" t="str" cm="1">
        <f t="array" ref="C108">INDEX('3_TrainWindows'!C:C, A108+1)</f>
        <v>1956-06</v>
      </c>
      <c r="D108" s="5" t="str" cm="1">
        <f t="array" ref="D108">INDEX('3_TrainWindows'!D:D, A108+1)</f>
        <v>1957-05</v>
      </c>
      <c r="E108" s="4">
        <f>SUMPRODUCT($B$16:$M$16,'3_TrainWindows'!$E91:$P91)</f>
        <v>15.108380664397705</v>
      </c>
      <c r="F108" s="4">
        <f>E108/($O$16 * '3_TrainWindows'!R91 + $B$9)</f>
        <v>0.96805096658989576</v>
      </c>
      <c r="G108" s="4">
        <f t="shared" si="7"/>
        <v>4.8402548329494781</v>
      </c>
      <c r="H108" s="4">
        <f t="shared" si="8"/>
        <v>0.91891053290486358</v>
      </c>
      <c r="I108" s="5">
        <f t="shared" si="5"/>
        <v>2.9919928718329512E-2</v>
      </c>
      <c r="J108" s="4" cm="1">
        <f t="array" ref="J108">INDEX('3_TrainWindows'!Q:Q, A108+1)</f>
        <v>1.3468658708921948</v>
      </c>
      <c r="K108" s="4">
        <f>SUMPRODUCT($B$16:$M$16,'3_TrainWindows'!$E91:$P91)</f>
        <v>15.108380664397705</v>
      </c>
    </row>
    <row r="109" spans="1:11">
      <c r="A109" s="5">
        <f t="shared" si="6"/>
        <v>91</v>
      </c>
      <c r="B109" s="5" cm="1">
        <f t="array" ref="B109">INDEX('3_TrainWindows'!B:B, A109+1)</f>
        <v>102</v>
      </c>
      <c r="C109" s="5" t="str" cm="1">
        <f t="array" ref="C109">INDEX('3_TrainWindows'!C:C, A109+1)</f>
        <v>1956-07</v>
      </c>
      <c r="D109" s="5" t="str" cm="1">
        <f t="array" ref="D109">INDEX('3_TrainWindows'!D:D, A109+1)</f>
        <v>1957-06</v>
      </c>
      <c r="E109" s="4">
        <f>SUMPRODUCT($B$16:$M$16,'3_TrainWindows'!$E92:$P92)</f>
        <v>15.846765745570158</v>
      </c>
      <c r="F109" s="4">
        <f>E109/($O$16 * '3_TrainWindows'!R92 + $B$9)</f>
        <v>0.97866814113897538</v>
      </c>
      <c r="G109" s="4">
        <f t="shared" si="7"/>
        <v>4.893340705694877</v>
      </c>
      <c r="H109" s="4">
        <f t="shared" si="8"/>
        <v>0.969009715059165</v>
      </c>
      <c r="I109" s="5">
        <f t="shared" si="5"/>
        <v>3.155116908964703E-2</v>
      </c>
      <c r="J109" s="4" cm="1">
        <f t="array" ref="J109">INDEX('3_TrainWindows'!Q:Q, A109+1)</f>
        <v>1.5808791268256994</v>
      </c>
      <c r="K109" s="4">
        <f>SUMPRODUCT($B$16:$M$16,'3_TrainWindows'!$E92:$P92)</f>
        <v>15.846765745570158</v>
      </c>
    </row>
    <row r="110" spans="1:11">
      <c r="A110" s="5">
        <f t="shared" si="6"/>
        <v>92</v>
      </c>
      <c r="B110" s="5" cm="1">
        <f t="array" ref="B110">INDEX('3_TrainWindows'!B:B, A110+1)</f>
        <v>103</v>
      </c>
      <c r="C110" s="5" t="str" cm="1">
        <f t="array" ref="C110">INDEX('3_TrainWindows'!C:C, A110+1)</f>
        <v>1956-08</v>
      </c>
      <c r="D110" s="5" t="str" cm="1">
        <f t="array" ref="D110">INDEX('3_TrainWindows'!D:D, A110+1)</f>
        <v>1957-07</v>
      </c>
      <c r="E110" s="4">
        <f>SUMPRODUCT($B$16:$M$16,'3_TrainWindows'!$E93:$P93)</f>
        <v>16.10238167753193</v>
      </c>
      <c r="F110" s="4">
        <f>E110/($O$16 * '3_TrainWindows'!R93 + $B$9)</f>
        <v>0.9553976266882438</v>
      </c>
      <c r="G110" s="4">
        <f t="shared" si="7"/>
        <v>4.7769881334412183</v>
      </c>
      <c r="H110" s="4">
        <f t="shared" si="8"/>
        <v>0.86257496877560125</v>
      </c>
      <c r="I110" s="5">
        <f t="shared" si="5"/>
        <v>2.8085630380572928E-2</v>
      </c>
      <c r="J110" s="4" cm="1">
        <f t="array" ref="J110">INDEX('3_TrainWindows'!Q:Q, A110+1)</f>
        <v>1.5912298289854596</v>
      </c>
      <c r="K110" s="4">
        <f>SUMPRODUCT($B$16:$M$16,'3_TrainWindows'!$E93:$P93)</f>
        <v>16.10238167753193</v>
      </c>
    </row>
    <row r="111" spans="1:11">
      <c r="A111" s="5">
        <f t="shared" si="6"/>
        <v>93</v>
      </c>
      <c r="B111" s="5" cm="1">
        <f t="array" ref="B111">INDEX('3_TrainWindows'!B:B, A111+1)</f>
        <v>104</v>
      </c>
      <c r="C111" s="5" t="str" cm="1">
        <f t="array" ref="C111">INDEX('3_TrainWindows'!C:C, A111+1)</f>
        <v>1956-09</v>
      </c>
      <c r="D111" s="5" t="str" cm="1">
        <f t="array" ref="D111">INDEX('3_TrainWindows'!D:D, A111+1)</f>
        <v>1957-08</v>
      </c>
      <c r="E111" s="4">
        <f>SUMPRODUCT($B$16:$M$16,'3_TrainWindows'!$E94:$P94)</f>
        <v>15.805842668573513</v>
      </c>
      <c r="F111" s="4">
        <f>E111/($O$16 * '3_TrainWindows'!R94 + $B$9)</f>
        <v>0.89771275811132933</v>
      </c>
      <c r="G111" s="4">
        <f t="shared" si="7"/>
        <v>4.488563790556646</v>
      </c>
      <c r="H111" s="4">
        <f t="shared" si="8"/>
        <v>0.64645120683443213</v>
      </c>
      <c r="I111" s="5">
        <f t="shared" si="5"/>
        <v>2.1048593237059765E-2</v>
      </c>
      <c r="J111" s="4" cm="1">
        <f t="array" ref="J111">INDEX('3_TrainWindows'!Q:Q, A111+1)</f>
        <v>1.2417383846105865</v>
      </c>
      <c r="K111" s="4">
        <f>SUMPRODUCT($B$16:$M$16,'3_TrainWindows'!$E94:$P94)</f>
        <v>15.805842668573513</v>
      </c>
    </row>
    <row r="112" spans="1:11">
      <c r="A112" s="5">
        <f t="shared" si="6"/>
        <v>94</v>
      </c>
      <c r="B112" s="5" cm="1">
        <f t="array" ref="B112">INDEX('3_TrainWindows'!B:B, A112+1)</f>
        <v>105</v>
      </c>
      <c r="C112" s="5" t="str" cm="1">
        <f t="array" ref="C112">INDEX('3_TrainWindows'!C:C, A112+1)</f>
        <v>1956-10</v>
      </c>
      <c r="D112" s="5" t="str" cm="1">
        <f t="array" ref="D112">INDEX('3_TrainWindows'!D:D, A112+1)</f>
        <v>1957-09</v>
      </c>
      <c r="E112" s="4">
        <f>SUMPRODUCT($B$16:$M$16,'3_TrainWindows'!$E95:$P95)</f>
        <v>15.749099886636671</v>
      </c>
      <c r="F112" s="4">
        <f>E112/($O$16 * '3_TrainWindows'!R95 + $B$9)</f>
        <v>0.86958603129455603</v>
      </c>
      <c r="G112" s="4">
        <f t="shared" si="7"/>
        <v>4.3479301564727795</v>
      </c>
      <c r="H112" s="4">
        <f t="shared" si="8"/>
        <v>0.56164169235463079</v>
      </c>
      <c r="I112" s="5">
        <f t="shared" si="5"/>
        <v>1.8287176823809769E-2</v>
      </c>
      <c r="J112" s="4" cm="1">
        <f t="array" ref="J112">INDEX('3_TrainWindows'!Q:Q, A112+1)</f>
        <v>0.87494118934723042</v>
      </c>
      <c r="K112" s="4">
        <f>SUMPRODUCT($B$16:$M$16,'3_TrainWindows'!$E95:$P95)</f>
        <v>15.749099886636671</v>
      </c>
    </row>
    <row r="113" spans="1:11">
      <c r="A113" s="5">
        <f t="shared" si="6"/>
        <v>95</v>
      </c>
      <c r="B113" s="5" cm="1">
        <f t="array" ref="B113">INDEX('3_TrainWindows'!B:B, A113+1)</f>
        <v>106</v>
      </c>
      <c r="C113" s="5" t="str" cm="1">
        <f t="array" ref="C113">INDEX('3_TrainWindows'!C:C, A113+1)</f>
        <v>1956-11</v>
      </c>
      <c r="D113" s="5" t="str" cm="1">
        <f t="array" ref="D113">INDEX('3_TrainWindows'!D:D, A113+1)</f>
        <v>1957-10</v>
      </c>
      <c r="E113" s="4">
        <f>SUMPRODUCT($B$16:$M$16,'3_TrainWindows'!$E96:$P96)</f>
        <v>15.624936977251188</v>
      </c>
      <c r="F113" s="4">
        <f>E113/($O$16 * '3_TrainWindows'!R96 + $B$9)</f>
        <v>0.84778416950550828</v>
      </c>
      <c r="G113" s="4">
        <f t="shared" si="7"/>
        <v>4.2389208475275408</v>
      </c>
      <c r="H113" s="4">
        <f t="shared" si="8"/>
        <v>0.5036365009231546</v>
      </c>
      <c r="I113" s="5">
        <f t="shared" si="5"/>
        <v>1.6398515054489835E-2</v>
      </c>
      <c r="J113" s="4" cm="1">
        <f t="array" ref="J113">INDEX('3_TrainWindows'!Q:Q, A113+1)</f>
        <v>0.56379925180330992</v>
      </c>
      <c r="K113" s="4">
        <f>SUMPRODUCT($B$16:$M$16,'3_TrainWindows'!$E96:$P96)</f>
        <v>15.624936977251188</v>
      </c>
    </row>
    <row r="114" spans="1:11">
      <c r="A114" s="5">
        <f t="shared" si="6"/>
        <v>96</v>
      </c>
      <c r="B114" s="5" cm="1">
        <f t="array" ref="B114">INDEX('3_TrainWindows'!B:B, A114+1)</f>
        <v>107</v>
      </c>
      <c r="C114" s="5" t="str" cm="1">
        <f t="array" ref="C114">INDEX('3_TrainWindows'!C:C, A114+1)</f>
        <v>1956-12</v>
      </c>
      <c r="D114" s="5" t="str" cm="1">
        <f t="array" ref="D114">INDEX('3_TrainWindows'!D:D, A114+1)</f>
        <v>1957-11</v>
      </c>
      <c r="E114" s="4">
        <f>SUMPRODUCT($B$16:$M$16,'3_TrainWindows'!$E97:$P97)</f>
        <v>15.412982130555079</v>
      </c>
      <c r="F114" s="4">
        <f>E114/($O$16 * '3_TrainWindows'!R97 + $B$9)</f>
        <v>0.8285300254910839</v>
      </c>
      <c r="G114" s="4">
        <f t="shared" si="7"/>
        <v>4.1426501274554193</v>
      </c>
      <c r="H114" s="4">
        <f t="shared" si="8"/>
        <v>0.45741179095118328</v>
      </c>
      <c r="I114" s="5">
        <f t="shared" si="5"/>
        <v>1.4893428348154271E-2</v>
      </c>
      <c r="J114" s="4" cm="1">
        <f t="array" ref="J114">INDEX('3_TrainWindows'!Q:Q, A114+1)</f>
        <v>0.79725128307750059</v>
      </c>
      <c r="K114" s="4">
        <f>SUMPRODUCT($B$16:$M$16,'3_TrainWindows'!$E97:$P97)</f>
        <v>15.412982130555079</v>
      </c>
    </row>
    <row r="115" spans="1:11">
      <c r="A115" s="5">
        <f t="shared" si="6"/>
        <v>97</v>
      </c>
      <c r="B115" s="5" cm="1">
        <f t="array" ref="B115">INDEX('3_TrainWindows'!B:B, A115+1)</f>
        <v>108</v>
      </c>
      <c r="C115" s="5" t="str" cm="1">
        <f t="array" ref="C115">INDEX('3_TrainWindows'!C:C, A115+1)</f>
        <v>1957-01</v>
      </c>
      <c r="D115" s="5" t="str" cm="1">
        <f t="array" ref="D115">INDEX('3_TrainWindows'!D:D, A115+1)</f>
        <v>1957-12</v>
      </c>
      <c r="E115" s="4">
        <f>SUMPRODUCT($B$16:$M$16,'3_TrainWindows'!$E98:$P98)</f>
        <v>15.479988292308009</v>
      </c>
      <c r="F115" s="4">
        <f>E115/($O$16 * '3_TrainWindows'!R98 + $B$9)</f>
        <v>0.82243089297999539</v>
      </c>
      <c r="G115" s="4">
        <f t="shared" si="7"/>
        <v>4.1121544648999766</v>
      </c>
      <c r="H115" s="4">
        <f t="shared" si="8"/>
        <v>0.44367326278765168</v>
      </c>
      <c r="I115" s="5">
        <f t="shared" ref="I115:I138" si="9">H115/$H$140</f>
        <v>1.444609885455472E-2</v>
      </c>
      <c r="J115" s="4" cm="1">
        <f t="array" ref="J115">INDEX('3_TrainWindows'!Q:Q, A115+1)</f>
        <v>0.82579256176071836</v>
      </c>
      <c r="K115" s="4">
        <f>SUMPRODUCT($B$16:$M$16,'3_TrainWindows'!$E98:$P98)</f>
        <v>15.479988292308009</v>
      </c>
    </row>
    <row r="116" spans="1:11">
      <c r="A116" s="5">
        <f t="shared" si="6"/>
        <v>98</v>
      </c>
      <c r="B116" s="5" cm="1">
        <f t="array" ref="B116">INDEX('3_TrainWindows'!B:B, A116+1)</f>
        <v>109</v>
      </c>
      <c r="C116" s="5" t="str" cm="1">
        <f t="array" ref="C116">INDEX('3_TrainWindows'!C:C, A116+1)</f>
        <v>1957-02</v>
      </c>
      <c r="D116" s="5" t="str" cm="1">
        <f t="array" ref="D116">INDEX('3_TrainWindows'!D:D, A116+1)</f>
        <v>1958-01</v>
      </c>
      <c r="E116" s="4">
        <f>SUMPRODUCT($B$16:$M$16,'3_TrainWindows'!$E99:$P99)</f>
        <v>15.813551774831639</v>
      </c>
      <c r="F116" s="4">
        <f>E116/($O$16 * '3_TrainWindows'!R99 + $B$9)</f>
        <v>0.83175677813210469</v>
      </c>
      <c r="G116" s="4">
        <f t="shared" si="7"/>
        <v>4.1587838906605228</v>
      </c>
      <c r="H116" s="4">
        <f t="shared" si="8"/>
        <v>0.46485141768548616</v>
      </c>
      <c r="I116" s="5">
        <f t="shared" si="9"/>
        <v>1.5135664228156277E-2</v>
      </c>
      <c r="J116" s="4" cm="1">
        <f t="array" ref="J116">INDEX('3_TrainWindows'!Q:Q, A116+1)</f>
        <v>0.66446307328449994</v>
      </c>
      <c r="K116" s="4">
        <f>SUMPRODUCT($B$16:$M$16,'3_TrainWindows'!$E99:$P99)</f>
        <v>15.813551774831639</v>
      </c>
    </row>
    <row r="117" spans="1:11">
      <c r="A117" s="5">
        <f t="shared" si="6"/>
        <v>99</v>
      </c>
      <c r="B117" s="5" cm="1">
        <f t="array" ref="B117">INDEX('3_TrainWindows'!B:B, A117+1)</f>
        <v>110</v>
      </c>
      <c r="C117" s="5" t="str" cm="1">
        <f t="array" ref="C117">INDEX('3_TrainWindows'!C:C, A117+1)</f>
        <v>1957-03</v>
      </c>
      <c r="D117" s="5" t="str" cm="1">
        <f t="array" ref="D117">INDEX('3_TrainWindows'!D:D, A117+1)</f>
        <v>1958-02</v>
      </c>
      <c r="E117" s="4">
        <f>SUMPRODUCT($B$16:$M$16,'3_TrainWindows'!$E100:$P100)</f>
        <v>16.460453211202811</v>
      </c>
      <c r="F117" s="4">
        <f>E117/($O$16 * '3_TrainWindows'!R100 + $B$9)</f>
        <v>0.86077669236510002</v>
      </c>
      <c r="G117" s="4">
        <f t="shared" si="7"/>
        <v>4.3038834618254995</v>
      </c>
      <c r="H117" s="4">
        <f t="shared" si="8"/>
        <v>0.53744014401674067</v>
      </c>
      <c r="I117" s="5">
        <f t="shared" si="9"/>
        <v>1.7499169095947707E-2</v>
      </c>
      <c r="J117" s="4" cm="1">
        <f t="array" ref="J117">INDEX('3_TrainWindows'!Q:Q, A117+1)</f>
        <v>0.97700338222493543</v>
      </c>
      <c r="K117" s="4">
        <f>SUMPRODUCT($B$16:$M$16,'3_TrainWindows'!$E100:$P100)</f>
        <v>16.460453211202811</v>
      </c>
    </row>
    <row r="118" spans="1:11">
      <c r="A118" s="5">
        <f t="shared" si="6"/>
        <v>100</v>
      </c>
      <c r="B118" s="5" cm="1">
        <f t="array" ref="B118">INDEX('3_TrainWindows'!B:B, A118+1)</f>
        <v>111</v>
      </c>
      <c r="C118" s="5" t="str" cm="1">
        <f t="array" ref="C118">INDEX('3_TrainWindows'!C:C, A118+1)</f>
        <v>1957-04</v>
      </c>
      <c r="D118" s="5" t="str" cm="1">
        <f t="array" ref="D118">INDEX('3_TrainWindows'!D:D, A118+1)</f>
        <v>1958-03</v>
      </c>
      <c r="E118" s="4">
        <f>SUMPRODUCT($B$16:$M$16,'3_TrainWindows'!$E101:$P101)</f>
        <v>17.15293937448779</v>
      </c>
      <c r="F118" s="4">
        <f>E118/($O$16 * '3_TrainWindows'!R101 + $B$9)</f>
        <v>0.8944836828694076</v>
      </c>
      <c r="G118" s="4">
        <f t="shared" si="7"/>
        <v>4.4724184143470378</v>
      </c>
      <c r="H118" s="4">
        <f t="shared" si="8"/>
        <v>0.63609781351735695</v>
      </c>
      <c r="I118" s="5">
        <f t="shared" si="9"/>
        <v>2.071148447734138E-2</v>
      </c>
      <c r="J118" s="4" cm="1">
        <f t="array" ref="J118">INDEX('3_TrainWindows'!Q:Q, A118+1)</f>
        <v>0.88188136651431936</v>
      </c>
      <c r="K118" s="4">
        <f>SUMPRODUCT($B$16:$M$16,'3_TrainWindows'!$E101:$P101)</f>
        <v>17.15293937448779</v>
      </c>
    </row>
    <row r="119" spans="1:11">
      <c r="A119" s="5">
        <f t="shared" si="6"/>
        <v>101</v>
      </c>
      <c r="B119" s="5" cm="1">
        <f t="array" ref="B119">INDEX('3_TrainWindows'!B:B, A119+1)</f>
        <v>112</v>
      </c>
      <c r="C119" s="5" t="str" cm="1">
        <f t="array" ref="C119">INDEX('3_TrainWindows'!C:C, A119+1)</f>
        <v>1957-05</v>
      </c>
      <c r="D119" s="5" t="str" cm="1">
        <f t="array" ref="D119">INDEX('3_TrainWindows'!D:D, A119+1)</f>
        <v>1958-04</v>
      </c>
      <c r="E119" s="4">
        <f>SUMPRODUCT($B$16:$M$16,'3_TrainWindows'!$E102:$P102)</f>
        <v>17.925162926596148</v>
      </c>
      <c r="F119" s="4">
        <f>E119/($O$16 * '3_TrainWindows'!R102 + $B$9)</f>
        <v>0.93475324552615813</v>
      </c>
      <c r="G119" s="4">
        <f t="shared" si="7"/>
        <v>4.6737662276307903</v>
      </c>
      <c r="H119" s="4">
        <f t="shared" si="8"/>
        <v>0.77797948865739652</v>
      </c>
      <c r="I119" s="5">
        <f t="shared" si="9"/>
        <v>2.533118297313245E-2</v>
      </c>
      <c r="J119" s="4" cm="1">
        <f t="array" ref="J119">INDEX('3_TrainWindows'!Q:Q, A119+1)</f>
        <v>0.98365637927507643</v>
      </c>
      <c r="K119" s="4">
        <f>SUMPRODUCT($B$16:$M$16,'3_TrainWindows'!$E102:$P102)</f>
        <v>17.925162926596148</v>
      </c>
    </row>
    <row r="120" spans="1:11">
      <c r="A120" s="5">
        <f t="shared" si="6"/>
        <v>102</v>
      </c>
      <c r="B120" s="5" cm="1">
        <f t="array" ref="B120">INDEX('3_TrainWindows'!B:B, A120+1)</f>
        <v>113</v>
      </c>
      <c r="C120" s="5" t="str" cm="1">
        <f t="array" ref="C120">INDEX('3_TrainWindows'!C:C, A120+1)</f>
        <v>1957-06</v>
      </c>
      <c r="D120" s="5" t="str" cm="1">
        <f t="array" ref="D120">INDEX('3_TrainWindows'!D:D, A120+1)</f>
        <v>1958-05</v>
      </c>
      <c r="E120" s="4">
        <f>SUMPRODUCT($B$16:$M$16,'3_TrainWindows'!$E103:$P103)</f>
        <v>18.497355480855383</v>
      </c>
      <c r="F120" s="4">
        <f>E120/($O$16 * '3_TrainWindows'!R103 + $B$9)</f>
        <v>0.96102416244722921</v>
      </c>
      <c r="G120" s="4">
        <f t="shared" si="7"/>
        <v>4.8051208122361455</v>
      </c>
      <c r="H120" s="4">
        <f t="shared" si="8"/>
        <v>0.88718607835000851</v>
      </c>
      <c r="I120" s="5">
        <f t="shared" si="9"/>
        <v>2.8886973512224131E-2</v>
      </c>
      <c r="J120" s="4" cm="1">
        <f t="array" ref="J120">INDEX('3_TrainWindows'!Q:Q, A120+1)</f>
        <v>1.4200388786191902</v>
      </c>
      <c r="K120" s="4">
        <f>SUMPRODUCT($B$16:$M$16,'3_TrainWindows'!$E103:$P103)</f>
        <v>18.497355480855383</v>
      </c>
    </row>
    <row r="121" spans="1:11">
      <c r="A121" s="5">
        <f t="shared" si="6"/>
        <v>103</v>
      </c>
      <c r="B121" s="5" cm="1">
        <f t="array" ref="B121">INDEX('3_TrainWindows'!B:B, A121+1)</f>
        <v>114</v>
      </c>
      <c r="C121" s="5" t="str" cm="1">
        <f t="array" ref="C121">INDEX('3_TrainWindows'!C:C, A121+1)</f>
        <v>1957-07</v>
      </c>
      <c r="D121" s="5" t="str" cm="1">
        <f t="array" ref="D121">INDEX('3_TrainWindows'!D:D, A121+1)</f>
        <v>1958-06</v>
      </c>
      <c r="E121" s="4">
        <f>SUMPRODUCT($B$16:$M$16,'3_TrainWindows'!$E104:$P104)</f>
        <v>19.050782398980811</v>
      </c>
      <c r="F121" s="4">
        <f>E121/($O$16 * '3_TrainWindows'!R104 + $B$9)</f>
        <v>0.98266160374422018</v>
      </c>
      <c r="G121" s="4">
        <f t="shared" si="7"/>
        <v>4.9133080187211009</v>
      </c>
      <c r="H121" s="4">
        <f t="shared" si="8"/>
        <v>0.98855269647812938</v>
      </c>
      <c r="I121" s="5">
        <f t="shared" si="9"/>
        <v>3.2187492855738395E-2</v>
      </c>
      <c r="J121" s="4" cm="1">
        <f t="array" ref="J121">INDEX('3_TrainWindows'!Q:Q, A121+1)</f>
        <v>1.7120923574673503</v>
      </c>
      <c r="K121" s="4">
        <f>SUMPRODUCT($B$16:$M$16,'3_TrainWindows'!$E104:$P104)</f>
        <v>19.050782398980811</v>
      </c>
    </row>
    <row r="122" spans="1:11">
      <c r="A122" s="5">
        <f t="shared" si="6"/>
        <v>104</v>
      </c>
      <c r="B122" s="5" cm="1">
        <f t="array" ref="B122">INDEX('3_TrainWindows'!B:B, A122+1)</f>
        <v>115</v>
      </c>
      <c r="C122" s="5" t="str" cm="1">
        <f t="array" ref="C122">INDEX('3_TrainWindows'!C:C, A122+1)</f>
        <v>1957-08</v>
      </c>
      <c r="D122" s="5" t="str" cm="1">
        <f t="array" ref="D122">INDEX('3_TrainWindows'!D:D, A122+1)</f>
        <v>1958-07</v>
      </c>
      <c r="E122" s="4">
        <f>SUMPRODUCT($B$16:$M$16,'3_TrainWindows'!$E105:$P105)</f>
        <v>19.254199406501282</v>
      </c>
      <c r="F122" s="4">
        <f>E122/($O$16 * '3_TrainWindows'!R105 + $B$9)</f>
        <v>0.97831080900353762</v>
      </c>
      <c r="G122" s="4">
        <f t="shared" si="7"/>
        <v>4.8915540450176875</v>
      </c>
      <c r="H122" s="4">
        <f t="shared" si="8"/>
        <v>0.96727996920004322</v>
      </c>
      <c r="I122" s="5">
        <f t="shared" si="9"/>
        <v>3.149484818467041E-2</v>
      </c>
      <c r="J122" s="4" cm="1">
        <f t="array" ref="J122">INDEX('3_TrainWindows'!Q:Q, A122+1)</f>
        <v>1.7798958967154574</v>
      </c>
      <c r="K122" s="4">
        <f>SUMPRODUCT($B$16:$M$16,'3_TrainWindows'!$E105:$P105)</f>
        <v>19.254199406501282</v>
      </c>
    </row>
    <row r="123" spans="1:11">
      <c r="A123" s="5">
        <f t="shared" si="6"/>
        <v>105</v>
      </c>
      <c r="B123" s="5" cm="1">
        <f t="array" ref="B123">INDEX('3_TrainWindows'!B:B, A123+1)</f>
        <v>116</v>
      </c>
      <c r="C123" s="5" t="str" cm="1">
        <f t="array" ref="C123">INDEX('3_TrainWindows'!C:C, A123+1)</f>
        <v>1957-09</v>
      </c>
      <c r="D123" s="5" t="str" cm="1">
        <f t="array" ref="D123">INDEX('3_TrainWindows'!D:D, A123+1)</f>
        <v>1958-08</v>
      </c>
      <c r="E123" s="4">
        <f>SUMPRODUCT($B$16:$M$16,'3_TrainWindows'!$E106:$P106)</f>
        <v>18.889963878758003</v>
      </c>
      <c r="F123" s="4">
        <f>E123/($O$16 * '3_TrainWindows'!R106 + $B$9)</f>
        <v>0.93950867753610756</v>
      </c>
      <c r="G123" s="4">
        <f t="shared" si="7"/>
        <v>4.6975433876805379</v>
      </c>
      <c r="H123" s="4">
        <f t="shared" si="8"/>
        <v>0.79669930153397361</v>
      </c>
      <c r="I123" s="5">
        <f t="shared" si="9"/>
        <v>2.5940704190738999E-2</v>
      </c>
      <c r="J123" s="4" cm="1">
        <f t="array" ref="J123">INDEX('3_TrainWindows'!Q:Q, A123+1)</f>
        <v>1.2417383846105865</v>
      </c>
      <c r="K123" s="4">
        <f>SUMPRODUCT($B$16:$M$16,'3_TrainWindows'!$E106:$P106)</f>
        <v>18.889963878758003</v>
      </c>
    </row>
    <row r="124" spans="1:11">
      <c r="A124" s="5">
        <f t="shared" si="6"/>
        <v>106</v>
      </c>
      <c r="B124" s="5" cm="1">
        <f t="array" ref="B124">INDEX('3_TrainWindows'!B:B, A124+1)</f>
        <v>117</v>
      </c>
      <c r="C124" s="5" t="str" cm="1">
        <f t="array" ref="C124">INDEX('3_TrainWindows'!C:C, A124+1)</f>
        <v>1957-10</v>
      </c>
      <c r="D124" s="5" t="str" cm="1">
        <f t="array" ref="D124">INDEX('3_TrainWindows'!D:D, A124+1)</f>
        <v>1958-09</v>
      </c>
      <c r="E124" s="4">
        <f>SUMPRODUCT($B$16:$M$16,'3_TrainWindows'!$E107:$P107)</f>
        <v>18.361337233362498</v>
      </c>
      <c r="F124" s="4">
        <f>E124/($O$16 * '3_TrainWindows'!R107 + $B$9)</f>
        <v>0.91321697450726436</v>
      </c>
      <c r="G124" s="4">
        <f t="shared" si="7"/>
        <v>4.5660848725363214</v>
      </c>
      <c r="H124" s="4">
        <f t="shared" si="8"/>
        <v>0.69855841509575411</v>
      </c>
      <c r="I124" s="5">
        <f t="shared" si="9"/>
        <v>2.2745215379328013E-2</v>
      </c>
      <c r="J124" s="4" cm="1">
        <f t="array" ref="J124">INDEX('3_TrainWindows'!Q:Q, A124+1)</f>
        <v>0.95693355848543915</v>
      </c>
      <c r="K124" s="4">
        <f>SUMPRODUCT($B$16:$M$16,'3_TrainWindows'!$E107:$P107)</f>
        <v>18.361337233362498</v>
      </c>
    </row>
    <row r="125" spans="1:11">
      <c r="A125" s="5">
        <f t="shared" si="6"/>
        <v>107</v>
      </c>
      <c r="B125" s="5" cm="1">
        <f t="array" ref="B125">INDEX('3_TrainWindows'!B:B, A125+1)</f>
        <v>118</v>
      </c>
      <c r="C125" s="5" t="str" cm="1">
        <f t="array" ref="C125">INDEX('3_TrainWindows'!C:C, A125+1)</f>
        <v>1957-11</v>
      </c>
      <c r="D125" s="5" t="str" cm="1">
        <f t="array" ref="D125">INDEX('3_TrainWindows'!D:D, A125+1)</f>
        <v>1958-10</v>
      </c>
      <c r="E125" s="4">
        <f>SUMPRODUCT($B$16:$M$16,'3_TrainWindows'!$E108:$P108)</f>
        <v>17.874265292708657</v>
      </c>
      <c r="F125" s="4">
        <f>E125/($O$16 * '3_TrainWindows'!R108 + $B$9)</f>
        <v>0.88463199936152581</v>
      </c>
      <c r="G125" s="4">
        <f t="shared" si="7"/>
        <v>4.4231599968076285</v>
      </c>
      <c r="H125" s="4">
        <f t="shared" si="8"/>
        <v>0.60552383647376162</v>
      </c>
      <c r="I125" s="5">
        <f t="shared" si="9"/>
        <v>1.9715989071615172E-2</v>
      </c>
      <c r="J125" s="4" cm="1">
        <f t="array" ref="J125">INDEX('3_TrainWindows'!Q:Q, A125+1)</f>
        <v>0.60301491098928695</v>
      </c>
      <c r="K125" s="4">
        <f>SUMPRODUCT($B$16:$M$16,'3_TrainWindows'!$E108:$P108)</f>
        <v>17.874265292708657</v>
      </c>
    </row>
    <row r="126" spans="1:11">
      <c r="A126" s="5">
        <f t="shared" si="6"/>
        <v>108</v>
      </c>
      <c r="B126" s="5" cm="1">
        <f t="array" ref="B126">INDEX('3_TrainWindows'!B:B, A126+1)</f>
        <v>119</v>
      </c>
      <c r="C126" s="5" t="str" cm="1">
        <f t="array" ref="C126">INDEX('3_TrainWindows'!C:C, A126+1)</f>
        <v>1957-12</v>
      </c>
      <c r="D126" s="5" t="str" cm="1">
        <f t="array" ref="D126">INDEX('3_TrainWindows'!D:D, A126+1)</f>
        <v>1958-11</v>
      </c>
      <c r="E126" s="4">
        <f>SUMPRODUCT($B$16:$M$16,'3_TrainWindows'!$E109:$P109)</f>
        <v>17.199408023676128</v>
      </c>
      <c r="F126" s="4">
        <f>E126/($O$16 * '3_TrainWindows'!R109 + $B$9)</f>
        <v>0.84996611698482383</v>
      </c>
      <c r="G126" s="4">
        <f t="shared" si="7"/>
        <v>4.2498305849241191</v>
      </c>
      <c r="H126" s="4">
        <f t="shared" si="8"/>
        <v>0.50916112419004866</v>
      </c>
      <c r="I126" s="5">
        <f t="shared" si="9"/>
        <v>1.6578398001112025E-2</v>
      </c>
      <c r="J126" s="4" cm="1">
        <f t="array" ref="J126">INDEX('3_TrainWindows'!Q:Q, A126+1)</f>
        <v>0.80441833114927708</v>
      </c>
      <c r="K126" s="4">
        <f>SUMPRODUCT($B$16:$M$16,'3_TrainWindows'!$E109:$P109)</f>
        <v>17.199408023676128</v>
      </c>
    </row>
    <row r="127" spans="1:11">
      <c r="A127" s="5">
        <f t="shared" si="6"/>
        <v>109</v>
      </c>
      <c r="B127" s="5" cm="1">
        <f t="array" ref="B127">INDEX('3_TrainWindows'!B:B, A127+1)</f>
        <v>120</v>
      </c>
      <c r="C127" s="5" t="str" cm="1">
        <f t="array" ref="C127">INDEX('3_TrainWindows'!C:C, A127+1)</f>
        <v>1958-01</v>
      </c>
      <c r="D127" s="5" t="str" cm="1">
        <f t="array" ref="D127">INDEX('3_TrainWindows'!D:D, A127+1)</f>
        <v>1958-12</v>
      </c>
      <c r="E127" s="4">
        <f>SUMPRODUCT($B$16:$M$16,'3_TrainWindows'!$E110:$P110)</f>
        <v>16.798412756061062</v>
      </c>
      <c r="F127" s="4">
        <f>E127/($O$16 * '3_TrainWindows'!R110 + $B$9)</f>
        <v>0.82984029082928856</v>
      </c>
      <c r="G127" s="4">
        <f t="shared" si="7"/>
        <v>4.1492014541464428</v>
      </c>
      <c r="H127" s="4">
        <f t="shared" si="8"/>
        <v>0.46041828252710365</v>
      </c>
      <c r="I127" s="5">
        <f t="shared" si="9"/>
        <v>1.4991320374007357E-2</v>
      </c>
      <c r="J127" s="4" cm="1">
        <f t="array" ref="J127">INDEX('3_TrainWindows'!Q:Q, A127+1)</f>
        <v>0.9636420743583447</v>
      </c>
      <c r="K127" s="4">
        <f>SUMPRODUCT($B$16:$M$16,'3_TrainWindows'!$E110:$P110)</f>
        <v>16.798412756061062</v>
      </c>
    </row>
    <row r="128" spans="1:11">
      <c r="A128" s="5">
        <f t="shared" si="6"/>
        <v>110</v>
      </c>
      <c r="B128" s="5" cm="1">
        <f t="array" ref="B128">INDEX('3_TrainWindows'!B:B, A128+1)</f>
        <v>121</v>
      </c>
      <c r="C128" s="5" t="str" cm="1">
        <f t="array" ref="C128">INDEX('3_TrainWindows'!C:C, A128+1)</f>
        <v>1958-02</v>
      </c>
      <c r="D128" s="5" t="str" cm="1">
        <f t="array" ref="D128">INDEX('3_TrainWindows'!D:D, A128+1)</f>
        <v>1959-01</v>
      </c>
      <c r="E128" s="4">
        <f>SUMPRODUCT($B$16:$M$16,'3_TrainWindows'!$E111:$P111)</f>
        <v>16.984586935391889</v>
      </c>
      <c r="F128" s="4">
        <f>E128/($O$16 * '3_TrainWindows'!R111 + $B$9)</f>
        <v>0.83240038051050802</v>
      </c>
      <c r="G128" s="4">
        <f t="shared" si="7"/>
        <v>4.1620019025525394</v>
      </c>
      <c r="H128" s="4">
        <f t="shared" si="8"/>
        <v>0.46634972456731194</v>
      </c>
      <c r="I128" s="5">
        <f t="shared" si="9"/>
        <v>1.5184449429214639E-2</v>
      </c>
      <c r="J128" s="4" cm="1">
        <f t="array" ref="J128">INDEX('3_TrainWindows'!Q:Q, A128+1)</f>
        <v>0.83993752841608693</v>
      </c>
      <c r="K128" s="4">
        <f>SUMPRODUCT($B$16:$M$16,'3_TrainWindows'!$E111:$P111)</f>
        <v>16.984586935391889</v>
      </c>
    </row>
    <row r="129" spans="1:11">
      <c r="A129" s="5">
        <f t="shared" si="6"/>
        <v>111</v>
      </c>
      <c r="B129" s="5" cm="1">
        <f t="array" ref="B129">INDEX('3_TrainWindows'!B:B, A129+1)</f>
        <v>122</v>
      </c>
      <c r="C129" s="5" t="str" cm="1">
        <f t="array" ref="C129">INDEX('3_TrainWindows'!C:C, A129+1)</f>
        <v>1958-03</v>
      </c>
      <c r="D129" s="5" t="str" cm="1">
        <f t="array" ref="D129">INDEX('3_TrainWindows'!D:D, A129+1)</f>
        <v>1959-02</v>
      </c>
      <c r="E129" s="4">
        <f>SUMPRODUCT($B$16:$M$16,'3_TrainWindows'!$E112:$P112)</f>
        <v>17.798617491365388</v>
      </c>
      <c r="F129" s="4">
        <f>E129/($O$16 * '3_TrainWindows'!R112 + $B$9)</f>
        <v>0.86503206879206107</v>
      </c>
      <c r="G129" s="4">
        <f t="shared" si="7"/>
        <v>4.325160343960305</v>
      </c>
      <c r="H129" s="4">
        <f t="shared" si="8"/>
        <v>0.54899771312179679</v>
      </c>
      <c r="I129" s="5">
        <f t="shared" si="9"/>
        <v>1.7875486083725939E-2</v>
      </c>
      <c r="J129" s="4" cm="1">
        <f t="array" ref="J129">INDEX('3_TrainWindows'!Q:Q, A129+1)</f>
        <v>1.2536480873383462</v>
      </c>
      <c r="K129" s="4">
        <f>SUMPRODUCT($B$16:$M$16,'3_TrainWindows'!$E112:$P112)</f>
        <v>17.798617491365388</v>
      </c>
    </row>
    <row r="130" spans="1:11">
      <c r="A130" s="5">
        <f t="shared" si="6"/>
        <v>112</v>
      </c>
      <c r="B130" s="5" cm="1">
        <f t="array" ref="B130">INDEX('3_TrainWindows'!B:B, A130+1)</f>
        <v>123</v>
      </c>
      <c r="C130" s="5" t="str" cm="1">
        <f t="array" ref="C130">INDEX('3_TrainWindows'!C:C, A130+1)</f>
        <v>1958-04</v>
      </c>
      <c r="D130" s="5" t="str" cm="1">
        <f t="array" ref="D130">INDEX('3_TrainWindows'!D:D, A130+1)</f>
        <v>1959-03</v>
      </c>
      <c r="E130" s="4">
        <f>SUMPRODUCT($B$16:$M$16,'3_TrainWindows'!$E113:$P113)</f>
        <v>18.845094965196751</v>
      </c>
      <c r="F130" s="4">
        <f>E130/($O$16 * '3_TrainWindows'!R113 + $B$9)</f>
        <v>0.89863882095839032</v>
      </c>
      <c r="G130" s="4">
        <f t="shared" si="7"/>
        <v>4.493194104791951</v>
      </c>
      <c r="H130" s="4">
        <f t="shared" si="8"/>
        <v>0.64945141966362285</v>
      </c>
      <c r="I130" s="5">
        <f t="shared" si="9"/>
        <v>2.1146280825540698E-2</v>
      </c>
      <c r="J130" s="4" cm="1">
        <f t="array" ref="J130">INDEX('3_TrainWindows'!Q:Q, A130+1)</f>
        <v>1.1935025786824822</v>
      </c>
      <c r="K130" s="4">
        <f>SUMPRODUCT($B$16:$M$16,'3_TrainWindows'!$E113:$P113)</f>
        <v>18.845094965196751</v>
      </c>
    </row>
    <row r="131" spans="1:11">
      <c r="A131" s="5">
        <f t="shared" si="6"/>
        <v>113</v>
      </c>
      <c r="B131" s="5" cm="1">
        <f t="array" ref="B131">INDEX('3_TrainWindows'!B:B, A131+1)</f>
        <v>124</v>
      </c>
      <c r="C131" s="5" t="str" cm="1">
        <f t="array" ref="C131">INDEX('3_TrainWindows'!C:C, A131+1)</f>
        <v>1958-05</v>
      </c>
      <c r="D131" s="5" t="str" cm="1">
        <f t="array" ref="D131">INDEX('3_TrainWindows'!D:D, A131+1)</f>
        <v>1959-04</v>
      </c>
      <c r="E131" s="4">
        <f>SUMPRODUCT($B$16:$M$16,'3_TrainWindows'!$E114:$P114)</f>
        <v>20.252563765331431</v>
      </c>
      <c r="F131" s="4">
        <f>E131/($O$16 * '3_TrainWindows'!R114 + $B$9)</f>
        <v>0.94740473786499058</v>
      </c>
      <c r="G131" s="4">
        <f t="shared" si="7"/>
        <v>4.7370236893249524</v>
      </c>
      <c r="H131" s="4">
        <f t="shared" si="8"/>
        <v>0.82878238804309701</v>
      </c>
      <c r="I131" s="5">
        <f t="shared" si="9"/>
        <v>2.698533653202086E-2</v>
      </c>
      <c r="J131" s="4" cm="1">
        <f t="array" ref="J131">INDEX('3_TrainWindows'!Q:Q, A131+1)</f>
        <v>1.3354087951823714</v>
      </c>
      <c r="K131" s="4">
        <f>SUMPRODUCT($B$16:$M$16,'3_TrainWindows'!$E114:$P114)</f>
        <v>20.252563765331431</v>
      </c>
    </row>
    <row r="132" spans="1:11">
      <c r="A132" s="5">
        <f t="shared" si="6"/>
        <v>114</v>
      </c>
      <c r="B132" s="5" cm="1">
        <f t="array" ref="B132">INDEX('3_TrainWindows'!B:B, A132+1)</f>
        <v>125</v>
      </c>
      <c r="C132" s="5" t="str" cm="1">
        <f t="array" ref="C132">INDEX('3_TrainWindows'!C:C, A132+1)</f>
        <v>1958-06</v>
      </c>
      <c r="D132" s="5" t="str" cm="1">
        <f t="array" ref="D132">INDEX('3_TrainWindows'!D:D, A132+1)</f>
        <v>1959-05</v>
      </c>
      <c r="E132" s="4">
        <f>SUMPRODUCT($B$16:$M$16,'3_TrainWindows'!$E115:$P115)</f>
        <v>21.340116979829745</v>
      </c>
      <c r="F132" s="4">
        <f>E132/($O$16 * '3_TrainWindows'!R115 + $B$9)</f>
        <v>0.97539427209250229</v>
      </c>
      <c r="G132" s="4">
        <f t="shared" si="7"/>
        <v>4.8769713604625116</v>
      </c>
      <c r="H132" s="4">
        <f t="shared" si="8"/>
        <v>0.95327678072556477</v>
      </c>
      <c r="I132" s="5">
        <f t="shared" si="9"/>
        <v>3.1038901293234451E-2</v>
      </c>
      <c r="J132" s="4" cm="1">
        <f t="array" ref="J132">INDEX('3_TrainWindows'!Q:Q, A132+1)</f>
        <v>1.6169138832476955</v>
      </c>
      <c r="K132" s="4">
        <f>SUMPRODUCT($B$16:$M$16,'3_TrainWindows'!$E115:$P115)</f>
        <v>21.340116979829745</v>
      </c>
    </row>
    <row r="133" spans="1:11">
      <c r="A133" s="5">
        <f t="shared" si="6"/>
        <v>115</v>
      </c>
      <c r="B133" s="5" cm="1">
        <f t="array" ref="B133">INDEX('3_TrainWindows'!B:B, A133+1)</f>
        <v>126</v>
      </c>
      <c r="C133" s="5" t="str" cm="1">
        <f t="array" ref="C133">INDEX('3_TrainWindows'!C:C, A133+1)</f>
        <v>1958-07</v>
      </c>
      <c r="D133" s="5" t="str" cm="1">
        <f t="array" ref="D133">INDEX('3_TrainWindows'!D:D, A133+1)</f>
        <v>1959-06</v>
      </c>
      <c r="E133" s="4">
        <f>SUMPRODUCT($B$16:$M$16,'3_TrainWindows'!$E116:$P116)</f>
        <v>21.904517150979594</v>
      </c>
      <c r="F133" s="4">
        <f>E133/($O$16 * '3_TrainWindows'!R116 + $B$9)</f>
        <v>0.98496426939513104</v>
      </c>
      <c r="G133" s="4">
        <f t="shared" si="7"/>
        <v>4.924821346975655</v>
      </c>
      <c r="H133" s="4">
        <f t="shared" si="8"/>
        <v>1</v>
      </c>
      <c r="I133" s="5">
        <f t="shared" si="9"/>
        <v>3.2560219571916883E-2</v>
      </c>
      <c r="J133" s="4" cm="1">
        <f t="array" ref="J133">INDEX('3_TrainWindows'!Q:Q, A133+1)</f>
        <v>1.9769732514637497</v>
      </c>
      <c r="K133" s="4">
        <f>SUMPRODUCT($B$16:$M$16,'3_TrainWindows'!$E116:$P116)</f>
        <v>21.904517150979594</v>
      </c>
    </row>
    <row r="134" spans="1:11">
      <c r="A134" s="5">
        <f t="shared" si="6"/>
        <v>116</v>
      </c>
      <c r="B134" s="5" cm="1">
        <f t="array" ref="B134">INDEX('3_TrainWindows'!B:B, A134+1)</f>
        <v>127</v>
      </c>
      <c r="C134" s="5" t="str" cm="1">
        <f t="array" ref="C134">INDEX('3_TrainWindows'!C:C, A134+1)</f>
        <v>1958-08</v>
      </c>
      <c r="D134" s="5" t="str" cm="1">
        <f t="array" ref="D134">INDEX('3_TrainWindows'!D:D, A134+1)</f>
        <v>1959-07</v>
      </c>
      <c r="E134" s="4">
        <f>SUMPRODUCT($B$16:$M$16,'3_TrainWindows'!$E117:$P117)</f>
        <v>22.168559716931277</v>
      </c>
      <c r="F134" s="4">
        <f>E134/($O$16 * '3_TrainWindows'!R117 + $B$9)</f>
        <v>0.97163527104164527</v>
      </c>
      <c r="G134" s="4">
        <f t="shared" si="7"/>
        <v>4.8581763552082258</v>
      </c>
      <c r="H134" s="4">
        <f t="shared" si="8"/>
        <v>0.93552726227100702</v>
      </c>
      <c r="I134" s="5">
        <f t="shared" si="9"/>
        <v>3.0460973075058261E-2</v>
      </c>
      <c r="J134" s="4" cm="1">
        <f t="array" ref="J134">INDEX('3_TrainWindows'!Q:Q, A134+1)</f>
        <v>2.0249040231186854</v>
      </c>
      <c r="K134" s="4">
        <f>SUMPRODUCT($B$16:$M$16,'3_TrainWindows'!$E117:$P117)</f>
        <v>22.168559716931277</v>
      </c>
    </row>
    <row r="135" spans="1:11">
      <c r="A135" s="5">
        <f t="shared" si="6"/>
        <v>117</v>
      </c>
      <c r="B135" s="5" cm="1">
        <f t="array" ref="B135">INDEX('3_TrainWindows'!B:B, A135+1)</f>
        <v>128</v>
      </c>
      <c r="C135" s="5" t="str" cm="1">
        <f t="array" ref="C135">INDEX('3_TrainWindows'!C:C, A135+1)</f>
        <v>1958-09</v>
      </c>
      <c r="D135" s="5" t="str" cm="1">
        <f t="array" ref="D135">INDEX('3_TrainWindows'!D:D, A135+1)</f>
        <v>1959-08</v>
      </c>
      <c r="E135" s="4">
        <f>SUMPRODUCT($B$16:$M$16,'3_TrainWindows'!$E118:$P118)</f>
        <v>21.63062707111796</v>
      </c>
      <c r="F135" s="4">
        <f>E135/($O$16 * '3_TrainWindows'!R118 + $B$9)</f>
        <v>0.92625673762611471</v>
      </c>
      <c r="G135" s="4">
        <f t="shared" si="7"/>
        <v>4.6312836881305737</v>
      </c>
      <c r="H135" s="4">
        <f t="shared" si="8"/>
        <v>0.74562114310426042</v>
      </c>
      <c r="I135" s="5">
        <f t="shared" si="9"/>
        <v>2.427758813693838E-2</v>
      </c>
      <c r="J135" s="4" cm="1">
        <f t="array" ref="J135">INDEX('3_TrainWindows'!Q:Q, A135+1)</f>
        <v>1.5704838094325702</v>
      </c>
      <c r="K135" s="4">
        <f>SUMPRODUCT($B$16:$M$16,'3_TrainWindows'!$E118:$P118)</f>
        <v>21.63062707111796</v>
      </c>
    </row>
    <row r="136" spans="1:11">
      <c r="A136" s="5">
        <f t="shared" si="6"/>
        <v>118</v>
      </c>
      <c r="B136" s="5" cm="1">
        <f t="array" ref="B136">INDEX('3_TrainWindows'!B:B, A136+1)</f>
        <v>129</v>
      </c>
      <c r="C136" s="5" t="str" cm="1">
        <f t="array" ref="C136">INDEX('3_TrainWindows'!C:C, A136+1)</f>
        <v>1958-10</v>
      </c>
      <c r="D136" s="5" t="str" cm="1">
        <f t="array" ref="D136">INDEX('3_TrainWindows'!D:D, A136+1)</f>
        <v>1959-09</v>
      </c>
      <c r="E136" s="4">
        <f>SUMPRODUCT($B$16:$M$16,'3_TrainWindows'!$E119:$P119)</f>
        <v>21.544634476364276</v>
      </c>
      <c r="F136" s="4">
        <f>E136/($O$16 * '3_TrainWindows'!R119 + $B$9)</f>
        <v>0.90245422073729165</v>
      </c>
      <c r="G136" s="4">
        <f t="shared" si="7"/>
        <v>4.5122711036864578</v>
      </c>
      <c r="H136" s="4">
        <f t="shared" si="8"/>
        <v>0.66195993681075593</v>
      </c>
      <c r="I136" s="5">
        <f t="shared" si="9"/>
        <v>2.155356089037044E-2</v>
      </c>
      <c r="J136" s="4" cm="1">
        <f t="array" ref="J136">INDEX('3_TrainWindows'!Q:Q, A136+1)</f>
        <v>1.2595809560160873</v>
      </c>
      <c r="K136" s="4">
        <f>SUMPRODUCT($B$16:$M$16,'3_TrainWindows'!$E119:$P119)</f>
        <v>21.544634476364276</v>
      </c>
    </row>
    <row r="137" spans="1:11">
      <c r="A137" s="5">
        <f t="shared" si="6"/>
        <v>119</v>
      </c>
      <c r="B137" s="5" cm="1">
        <f t="array" ref="B137">INDEX('3_TrainWindows'!B:B, A137+1)</f>
        <v>130</v>
      </c>
      <c r="C137" s="5" t="str" cm="1">
        <f t="array" ref="C137">INDEX('3_TrainWindows'!C:C, A137+1)</f>
        <v>1958-11</v>
      </c>
      <c r="D137" s="5" t="str" cm="1">
        <f t="array" ref="D137">INDEX('3_TrainWindows'!D:D, A137+1)</f>
        <v>1959-10</v>
      </c>
      <c r="E137" s="4">
        <f>SUMPRODUCT($B$16:$M$16,'3_TrainWindows'!$E120:$P120)</f>
        <v>21.284483070977448</v>
      </c>
      <c r="F137" s="4">
        <f>E137/($O$16 * '3_TrainWindows'!R120 + $B$9)</f>
        <v>0.87792183360371345</v>
      </c>
      <c r="G137" s="4">
        <f t="shared" si="7"/>
        <v>4.3896091680185672</v>
      </c>
      <c r="H137" s="4">
        <f t="shared" si="8"/>
        <v>0.58554503662806945</v>
      </c>
      <c r="I137" s="5">
        <f t="shared" si="9"/>
        <v>1.9065474961856056E-2</v>
      </c>
      <c r="J137" s="4" cm="1">
        <f t="array" ref="J137">INDEX('3_TrainWindows'!Q:Q, A137+1)</f>
        <v>0.97700338222493543</v>
      </c>
      <c r="K137" s="4">
        <f>SUMPRODUCT($B$16:$M$16,'3_TrainWindows'!$E120:$P120)</f>
        <v>21.284483070977448</v>
      </c>
    </row>
    <row r="138" spans="1:11">
      <c r="A138" s="5">
        <f t="shared" si="6"/>
        <v>120</v>
      </c>
      <c r="B138" s="5" cm="1">
        <f t="array" ref="B138">INDEX('3_TrainWindows'!B:B, A138+1)</f>
        <v>131</v>
      </c>
      <c r="C138" s="5" t="str" cm="1">
        <f t="array" ref="C138">INDEX('3_TrainWindows'!C:C, A138+1)</f>
        <v>1958-12</v>
      </c>
      <c r="D138" s="5" t="str" cm="1">
        <f t="array" ref="D138">INDEX('3_TrainWindows'!D:D, A138+1)</f>
        <v>1959-11</v>
      </c>
      <c r="E138" s="4">
        <f>SUMPRODUCT($B$16:$M$16,'3_TrainWindows'!$E121:$P121)</f>
        <v>21.295433811083935</v>
      </c>
      <c r="F138" s="4">
        <f>E138/($O$16 * '3_TrainWindows'!R121 + $B$9)</f>
        <v>0.86686105430858951</v>
      </c>
      <c r="G138" s="4">
        <f t="shared" si="7"/>
        <v>4.3343052715429469</v>
      </c>
      <c r="H138" s="4">
        <f t="shared" si="8"/>
        <v>0.55404128384653939</v>
      </c>
      <c r="I138" s="5">
        <f t="shared" si="9"/>
        <v>1.8039705853950049E-2</v>
      </c>
      <c r="J138" s="4" cm="1">
        <f t="array" ref="J138">INDEX('3_TrainWindows'!Q:Q, A138+1)</f>
        <v>1.2477005876502856</v>
      </c>
      <c r="K138" s="4">
        <f>SUMPRODUCT($B$16:$M$16,'3_TrainWindows'!$E121:$P121)</f>
        <v>21.295433811083935</v>
      </c>
    </row>
    <row r="140" spans="1:11">
      <c r="F140" s="4" t="s">
        <v>189</v>
      </c>
      <c r="G140" s="4">
        <f>MAX(G19:G138)</f>
        <v>4.924821346975655</v>
      </c>
      <c r="H140" s="4">
        <f>SUM(H19:H138)</f>
        <v>30.71232360062147</v>
      </c>
    </row>
    <row r="141" spans="1:11">
      <c r="A141" s="4" t="s">
        <v>182</v>
      </c>
    </row>
    <row r="142" spans="1:11">
      <c r="A142" s="4" t="s">
        <v>183</v>
      </c>
      <c r="B142" s="4">
        <f>SUMPRODUCT(I19:I138, J19:J138)</f>
        <v>1.1470358155245501</v>
      </c>
    </row>
    <row r="143" spans="1:11">
      <c r="A143" s="4" t="s">
        <v>184</v>
      </c>
      <c r="B143" s="4">
        <f>(B142 * '2_Preprocessed'!$H$1) + '2_Preprocessed'!$G$1</f>
        <v>5.9621470667551266</v>
      </c>
    </row>
    <row r="144" spans="1:11">
      <c r="A144" s="4" t="s">
        <v>185</v>
      </c>
      <c r="B144" s="4">
        <f>EXP(B143)</f>
        <v>388.4432431103528</v>
      </c>
    </row>
    <row r="145" spans="1:2">
      <c r="A145" s="4" t="s">
        <v>186</v>
      </c>
      <c r="B145" s="4" cm="1">
        <f t="array" ref="B145">INDEX('2_Preprocessed'!$B$2:$B$145, B12+1)</f>
        <v>622</v>
      </c>
    </row>
    <row r="146" spans="1:2">
      <c r="A146" s="4" t="s">
        <v>187</v>
      </c>
      <c r="B146" s="4">
        <f>B145 - B144</f>
        <v>233.5567568896472</v>
      </c>
    </row>
    <row r="147" spans="1:2">
      <c r="A147" s="4" t="s">
        <v>188</v>
      </c>
      <c r="B147" s="4">
        <f>ABS(B146/B145)</f>
        <v>0.37549317827917555</v>
      </c>
    </row>
    <row r="148" spans="1:2">
      <c r="A148" s="4" t="s">
        <v>186</v>
      </c>
      <c r="B148" s="4" cm="1">
        <f t="array" ref="B148">INDEX('2_Preprocessed'!$B$2:$B$145, $B$5+1)</f>
        <v>136</v>
      </c>
    </row>
    <row r="149" spans="1:2">
      <c r="A149" s="4" t="s">
        <v>187</v>
      </c>
      <c r="B149" s="4">
        <f>B145 - B144</f>
        <v>233.5567568896472</v>
      </c>
    </row>
    <row r="150" spans="1:2">
      <c r="A150" s="4" t="s">
        <v>188</v>
      </c>
      <c r="B150" s="4">
        <f>ABS(B146/B145)</f>
        <v>0.37549317827917555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C70660-32B6-4585-B5F1-5E99BC8EB0E4}">
          <x14:formula1>
            <xm:f>'4_TestWindows'!$A$2:$A$13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Read_Me</vt:lpstr>
      <vt:lpstr>Algorithm</vt:lpstr>
      <vt:lpstr>1_RawData</vt:lpstr>
      <vt:lpstr>2_Preprocessed</vt:lpstr>
      <vt:lpstr>3_TrainWindows</vt:lpstr>
      <vt:lpstr>4_TestWindows</vt:lpstr>
      <vt:lpstr>5_AttentionModel</vt:lpstr>
      <vt:lpstr>train_end_idx</vt:lpstr>
      <vt:lpstr>ts_month</vt:lpstr>
      <vt:lpstr>ts_y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Maheshwari</dc:creator>
  <cp:lastModifiedBy>Chandrakant Maheshwari</cp:lastModifiedBy>
  <dcterms:created xsi:type="dcterms:W3CDTF">2025-10-26T14:37:27Z</dcterms:created>
  <dcterms:modified xsi:type="dcterms:W3CDTF">2025-11-02T16:13:28Z</dcterms:modified>
</cp:coreProperties>
</file>